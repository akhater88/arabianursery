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" sheetId="1" r:id="rId4"/>
    <sheet state="visible" name="Pivot Table 1" sheetId="2" r:id="rId5"/>
    <sheet state="visible" name="بذور المشتل" sheetId="3" r:id="rId6"/>
    <sheet state="visible" name="NurserySeedlings" sheetId="4" r:id="rId7"/>
    <sheet state="visible" name="NurserySeeds" sheetId="5" r:id="rId8"/>
    <sheet state="visible" name="customers" sheetId="6" r:id="rId9"/>
  </sheets>
  <definedNames>
    <definedName hidden="1" localSheetId="0" name="_xlnm._FilterDatabase">'2023'!$A$1:$A$284</definedName>
    <definedName hidden="1" localSheetId="5" name="_xlnm._FilterDatabase">customers!$A$1:$B$67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<sst xmlns="http://schemas.openxmlformats.org/spreadsheetml/2006/main" count="1435" uniqueCount="431">
  <si>
    <t>الاسم</t>
  </si>
  <si>
    <t>الصنف</t>
  </si>
  <si>
    <t>النوع</t>
  </si>
  <si>
    <t>الكمية</t>
  </si>
  <si>
    <t>تاريخ التشتيل</t>
  </si>
  <si>
    <t xml:space="preserve">عدد الصواني </t>
  </si>
  <si>
    <t>رقم البيت</t>
  </si>
  <si>
    <t xml:space="preserve">تاريخ الاستلام </t>
  </si>
  <si>
    <t>مصـد البذور</t>
  </si>
  <si>
    <t>قيمة الخصم</t>
  </si>
  <si>
    <t>المبلغ</t>
  </si>
  <si>
    <t>المتبقي</t>
  </si>
  <si>
    <t>مجموع الدفعات</t>
  </si>
  <si>
    <t>دفعة ١</t>
  </si>
  <si>
    <t>دفعة ٢</t>
  </si>
  <si>
    <t>دفعة ٣</t>
  </si>
  <si>
    <t>دفعة ٤</t>
  </si>
  <si>
    <t>سعيد درويش</t>
  </si>
  <si>
    <t>بامية</t>
  </si>
  <si>
    <t>سمارت</t>
  </si>
  <si>
    <t>16*35</t>
  </si>
  <si>
    <t xml:space="preserve">رشدي ضراغمة </t>
  </si>
  <si>
    <t>10*100</t>
  </si>
  <si>
    <t>محمد درويش</t>
  </si>
  <si>
    <t>اشرف الرشدان</t>
  </si>
  <si>
    <t>باذنجان</t>
  </si>
  <si>
    <t>تبذير</t>
  </si>
  <si>
    <t>بسام جبارات</t>
  </si>
  <si>
    <t>حمصي</t>
  </si>
  <si>
    <t>25 بكيت</t>
  </si>
  <si>
    <t>شركة الخارطة</t>
  </si>
  <si>
    <t>تجارب</t>
  </si>
  <si>
    <t>فلفل</t>
  </si>
  <si>
    <t>بيك</t>
  </si>
  <si>
    <t>20 بكيت</t>
  </si>
  <si>
    <t>بيشن</t>
  </si>
  <si>
    <t>وليد الفقير</t>
  </si>
  <si>
    <t>باميا</t>
  </si>
  <si>
    <t>2 بكيت</t>
  </si>
  <si>
    <t>10 بكيت</t>
  </si>
  <si>
    <t>14/6/2023</t>
  </si>
  <si>
    <t>14/6/2024</t>
  </si>
  <si>
    <t>19/6/2023</t>
  </si>
  <si>
    <t>فهمي يونس ابوسمرا</t>
  </si>
  <si>
    <t>15 بكيت</t>
  </si>
  <si>
    <t>21/6/2023</t>
  </si>
  <si>
    <t>محمد اسماعيل الشوبكي</t>
  </si>
  <si>
    <t>30 بكيت</t>
  </si>
  <si>
    <t>22/6/2023</t>
  </si>
  <si>
    <t>حسين عريج</t>
  </si>
  <si>
    <t>17 بكيت</t>
  </si>
  <si>
    <t>17بكيت/20د للبكيت</t>
  </si>
  <si>
    <t>12 بكيت</t>
  </si>
  <si>
    <t>24/6/2023</t>
  </si>
  <si>
    <t>المشتل</t>
  </si>
  <si>
    <t>1 بكيت</t>
  </si>
  <si>
    <t>1بكيت/17 للبكيت</t>
  </si>
  <si>
    <t>اشرف كمال</t>
  </si>
  <si>
    <t>سوس</t>
  </si>
  <si>
    <t>44 بكيت</t>
  </si>
  <si>
    <t>25/6/2023</t>
  </si>
  <si>
    <t xml:space="preserve">
44بكيت/18د للبكيت</t>
  </si>
  <si>
    <t>16 بكيت</t>
  </si>
  <si>
    <t>حافظ الشوبكي</t>
  </si>
  <si>
    <t>جاكور</t>
  </si>
  <si>
    <t>3 بكيت</t>
  </si>
  <si>
    <t>26/6/2023</t>
  </si>
  <si>
    <t>19 بكيت</t>
  </si>
  <si>
    <t>محمد الحويطي</t>
  </si>
  <si>
    <t xml:space="preserve">شمام </t>
  </si>
  <si>
    <t>بور</t>
  </si>
  <si>
    <t xml:space="preserve">49 بكيت </t>
  </si>
  <si>
    <t>27/6/2023</t>
  </si>
  <si>
    <t>10بكيت+تشتيل</t>
  </si>
  <si>
    <t>برشلونة</t>
  </si>
  <si>
    <t>ابو معاذ الوحشة</t>
  </si>
  <si>
    <t>20بكيت/18د للبكيت</t>
  </si>
  <si>
    <t>219 بكيت</t>
  </si>
  <si>
    <t>يحيى بليلات</t>
  </si>
  <si>
    <t>ريحان</t>
  </si>
  <si>
    <t>اخضر</t>
  </si>
  <si>
    <t>مخلد الشامي</t>
  </si>
  <si>
    <t>صيدا</t>
  </si>
  <si>
    <t>12 بكيت 500</t>
  </si>
  <si>
    <t>15/7/2023</t>
  </si>
  <si>
    <t>40 بكيت 1000</t>
  </si>
  <si>
    <t>طايل الدوجان</t>
  </si>
  <si>
    <t>120 بكيت 1000</t>
  </si>
  <si>
    <t>18/7/2023</t>
  </si>
  <si>
    <t>5 بكيت 1000</t>
  </si>
  <si>
    <t>19/7/2023</t>
  </si>
  <si>
    <t>22/7/2023</t>
  </si>
  <si>
    <t>20 بكيت 1000</t>
  </si>
  <si>
    <t>محمد صبيح</t>
  </si>
  <si>
    <t>17 بكيت 1000</t>
  </si>
  <si>
    <t>17بكيت/18د للبكيت</t>
  </si>
  <si>
    <t>رمضان ابو صليح</t>
  </si>
  <si>
    <t>35 بكيت 1000</t>
  </si>
  <si>
    <t>م. يوسف كايد</t>
  </si>
  <si>
    <t>فؤاد جبارات</t>
  </si>
  <si>
    <t>100 بكيت 1000</t>
  </si>
  <si>
    <t>25/7/2023</t>
  </si>
  <si>
    <t>100بكيت/20دللبكيت</t>
  </si>
  <si>
    <t>13 بكيت 1000</t>
  </si>
  <si>
    <t>13بكيت/18د للبكيت</t>
  </si>
  <si>
    <t>م. احمد مرمش</t>
  </si>
  <si>
    <t>بطيخ</t>
  </si>
  <si>
    <t>تاجو</t>
  </si>
  <si>
    <t>3 بكيت 1000</t>
  </si>
  <si>
    <t>ملون</t>
  </si>
  <si>
    <t>10 بكيت 1000</t>
  </si>
  <si>
    <t>27/7/2023</t>
  </si>
  <si>
    <t>10بكيت/30د للبكيت/القوافل</t>
  </si>
  <si>
    <t>30/7/2023</t>
  </si>
  <si>
    <t>20بكيت/30د للبكيت/القوافل</t>
  </si>
  <si>
    <t>عماد المرايحة</t>
  </si>
  <si>
    <t>مشكل</t>
  </si>
  <si>
    <t>31/7/2023</t>
  </si>
  <si>
    <t>عبدالقادر العسولي</t>
  </si>
  <si>
    <t>شمندر</t>
  </si>
  <si>
    <t>الاولى</t>
  </si>
  <si>
    <t>خالد فارس الشوبكي</t>
  </si>
  <si>
    <t>غزال</t>
  </si>
  <si>
    <t>20بكيت/30د للبكيت</t>
  </si>
  <si>
    <t>بندورة</t>
  </si>
  <si>
    <t>ريم</t>
  </si>
  <si>
    <t>47 بكيت 1000</t>
  </si>
  <si>
    <t>داليا</t>
  </si>
  <si>
    <t>9 بكيت 1000</t>
  </si>
  <si>
    <t>13/8/2023</t>
  </si>
  <si>
    <t>ميار</t>
  </si>
  <si>
    <t>70 بكيت 1000</t>
  </si>
  <si>
    <t>14/8/2023</t>
  </si>
  <si>
    <t>300صينية/7.5د للصينية</t>
  </si>
  <si>
    <t>خيار</t>
  </si>
  <si>
    <t>جوري</t>
  </si>
  <si>
    <t>19/8/2023</t>
  </si>
  <si>
    <t>بركان</t>
  </si>
  <si>
    <t>1 بكيت 1000</t>
  </si>
  <si>
    <t>20/08/2023</t>
  </si>
  <si>
    <t>حار</t>
  </si>
  <si>
    <t>7 بكيت 1000</t>
  </si>
  <si>
    <t>20/8/2023</t>
  </si>
  <si>
    <t>15 بكيت 1000</t>
  </si>
  <si>
    <t>روجا</t>
  </si>
  <si>
    <t>معن</t>
  </si>
  <si>
    <t xml:space="preserve">احمد العساف </t>
  </si>
  <si>
    <t>16 بكيت 1000</t>
  </si>
  <si>
    <t>ايراد</t>
  </si>
  <si>
    <t>6 بكيت 1000</t>
  </si>
  <si>
    <t>25/8/2023</t>
  </si>
  <si>
    <t>8 بكيت 1000</t>
  </si>
  <si>
    <t>27/8/2023</t>
  </si>
  <si>
    <t>عاطف ابو النجا</t>
  </si>
  <si>
    <t>باريوز</t>
  </si>
  <si>
    <t>1 بكيت 1500</t>
  </si>
  <si>
    <t xml:space="preserve">2 بكيت </t>
  </si>
  <si>
    <t>محمد محمود ابو صليح</t>
  </si>
  <si>
    <t>25 بكيت 500</t>
  </si>
  <si>
    <t>احمر</t>
  </si>
  <si>
    <t>بروكلي</t>
  </si>
  <si>
    <t>2بكيت/20د للبكيت/الشركة الاولى</t>
  </si>
  <si>
    <t>احمد التعمري</t>
  </si>
  <si>
    <t>14 بكيت 1000</t>
  </si>
  <si>
    <t>كلوراي ابيض</t>
  </si>
  <si>
    <t>كلوراي احمر</t>
  </si>
  <si>
    <t>1بكيت/20د للبكيت/الشركة الاولى</t>
  </si>
  <si>
    <t>رقم1</t>
  </si>
  <si>
    <t>1 بكيت 5000</t>
  </si>
  <si>
    <t>رقم2</t>
  </si>
  <si>
    <t>حسين العساف</t>
  </si>
  <si>
    <t>مكسيم</t>
  </si>
  <si>
    <t>12 بكيت 1000</t>
  </si>
  <si>
    <t>ياقوت</t>
  </si>
  <si>
    <t>30 بكيت 1000</t>
  </si>
  <si>
    <t>درة</t>
  </si>
  <si>
    <t>4 بكيت 1000</t>
  </si>
  <si>
    <t>شومر</t>
  </si>
  <si>
    <t>بكيت</t>
  </si>
  <si>
    <t>احمد خميس ابو عبدالله</t>
  </si>
  <si>
    <t>اليكس</t>
  </si>
  <si>
    <t>1 بكيت 2000</t>
  </si>
  <si>
    <t>شركة القوافل</t>
  </si>
  <si>
    <t>100 بكيت</t>
  </si>
  <si>
    <t>كرم عبد الرازق</t>
  </si>
  <si>
    <t>سلمى</t>
  </si>
  <si>
    <t>2 بكيت 100</t>
  </si>
  <si>
    <t>قيصر</t>
  </si>
  <si>
    <t>حابس ابو نجا</t>
  </si>
  <si>
    <t>ريما</t>
  </si>
  <si>
    <t>ديما</t>
  </si>
  <si>
    <t>احمدخميس</t>
  </si>
  <si>
    <t>موسى يوسف</t>
  </si>
  <si>
    <t>سينجل</t>
  </si>
  <si>
    <t>30بكيت 1000</t>
  </si>
  <si>
    <t>م. احمد الفار</t>
  </si>
  <si>
    <t>فاصولياء</t>
  </si>
  <si>
    <t>اسامة يوسف دخل الله</t>
  </si>
  <si>
    <t>من عبوة</t>
  </si>
  <si>
    <t>احمد عساف</t>
  </si>
  <si>
    <t>٣ بكيت ١٠٠٠</t>
  </si>
  <si>
    <t>٥٠١</t>
  </si>
  <si>
    <t>١ بكيت ٥٠٠٠</t>
  </si>
  <si>
    <t>مزارع ابناء القاسم</t>
  </si>
  <si>
    <t>ودجارو</t>
  </si>
  <si>
    <t>١٢ بكيت ١٠٠٠</t>
  </si>
  <si>
    <t>ابراهيم الشوبكي</t>
  </si>
  <si>
    <t>١٢٩</t>
  </si>
  <si>
    <t>١٣ بكيت ١٠٠٠</t>
  </si>
  <si>
    <t>زهرة</t>
  </si>
  <si>
    <t>سميلا</t>
  </si>
  <si>
    <t>٢ بكيت</t>
  </si>
  <si>
    <t>13/9/2023</t>
  </si>
  <si>
    <t>3بكيت/38د للبكيت/وليد دحنون</t>
  </si>
  <si>
    <t>٧ بكيت</t>
  </si>
  <si>
    <t>محمود الحويطي</t>
  </si>
  <si>
    <t>٢٣ بكيت</t>
  </si>
  <si>
    <t>تكساس</t>
  </si>
  <si>
    <t>10.15د للصينية</t>
  </si>
  <si>
    <t>10.15 د للصينية</t>
  </si>
  <si>
    <t>٠٨٥</t>
  </si>
  <si>
    <t>٢٥ بكيت ١٠٠٠</t>
  </si>
  <si>
    <t>16/9/2023</t>
  </si>
  <si>
    <t>رقم ١</t>
  </si>
  <si>
    <t>١ بكيت ٥٠٠</t>
  </si>
  <si>
    <t>14/9/2023</t>
  </si>
  <si>
    <t>ابو اشرف الباكستاني</t>
  </si>
  <si>
    <t>كنار</t>
  </si>
  <si>
    <t>١١ بكيت ١٠٠٠</t>
  </si>
  <si>
    <t>١٥٧٤</t>
  </si>
  <si>
    <t>١ بكيت ١٠٠٠</t>
  </si>
  <si>
    <t>17/9/2023</t>
  </si>
  <si>
    <t>تمارة</t>
  </si>
  <si>
    <t>18/9/2023</t>
  </si>
  <si>
    <t>19/9/2023</t>
  </si>
  <si>
    <t>ابو ابراهيم التعمري</t>
  </si>
  <si>
    <t>١ بكيت</t>
  </si>
  <si>
    <t>عز</t>
  </si>
  <si>
    <t>شركة استرا</t>
  </si>
  <si>
    <t>بل</t>
  </si>
  <si>
    <t>عبوة</t>
  </si>
  <si>
    <t>عناقيد</t>
  </si>
  <si>
    <t>18/9/2024</t>
  </si>
  <si>
    <t>18/9/2025</t>
  </si>
  <si>
    <t>٠٢٠٥٦</t>
  </si>
  <si>
    <t>18/9/2026</t>
  </si>
  <si>
    <t>٠٢٠٣١</t>
  </si>
  <si>
    <t>19/9/2027</t>
  </si>
  <si>
    <t>20/9/2023</t>
  </si>
  <si>
    <t>9+4</t>
  </si>
  <si>
    <t>ابو صلاح ايوب</t>
  </si>
  <si>
    <t>ملفوف</t>
  </si>
  <si>
    <t>٢٠٥</t>
  </si>
  <si>
    <t>٥ بكيت</t>
  </si>
  <si>
    <t>٤٠١١</t>
  </si>
  <si>
    <t>٤٠٤٠</t>
  </si>
  <si>
    <t>٣٥ بكيت ١٠٠٠</t>
  </si>
  <si>
    <t>21/9/2023</t>
  </si>
  <si>
    <t>شير</t>
  </si>
  <si>
    <t>مالك ابو نجا</t>
  </si>
  <si>
    <t>خالد ابو دعيس</t>
  </si>
  <si>
    <t>نورس</t>
  </si>
  <si>
    <t xml:space="preserve">٣٠ بكيت ١٠٠٠ </t>
  </si>
  <si>
    <t>21/9/2024</t>
  </si>
  <si>
    <t>اسامة التعمري</t>
  </si>
  <si>
    <t>23/9/2023</t>
  </si>
  <si>
    <t>١٠ بكيت ١٠٠٠</t>
  </si>
  <si>
    <t>شهم</t>
  </si>
  <si>
    <t>٥ بكيت ١٠٠٠</t>
  </si>
  <si>
    <t>5بكيت/40د للبكيت</t>
  </si>
  <si>
    <t>بصل</t>
  </si>
  <si>
    <t>زيد التعمري</t>
  </si>
  <si>
    <t>25/9/2023</t>
  </si>
  <si>
    <t>25-26/9/2023</t>
  </si>
  <si>
    <t>ياتوا</t>
  </si>
  <si>
    <t>26/9/2023</t>
  </si>
  <si>
    <t>سلطة</t>
  </si>
  <si>
    <t>قرع</t>
  </si>
  <si>
    <t>١٠ بكيت</t>
  </si>
  <si>
    <t>10بكيتات/38د للبكيت/وليد دحنون</t>
  </si>
  <si>
    <t>عدنان النورس</t>
  </si>
  <si>
    <t>٣ بكيت</t>
  </si>
  <si>
    <t>نورين</t>
  </si>
  <si>
    <t>١٠٤</t>
  </si>
  <si>
    <t>فواز بريزات</t>
  </si>
  <si>
    <t>٠٢٦٥٢</t>
  </si>
  <si>
    <t>١ بكيت ٣٠٠</t>
  </si>
  <si>
    <t>27/9/2023</t>
  </si>
  <si>
    <t>27/9/2024</t>
  </si>
  <si>
    <t>قطية</t>
  </si>
  <si>
    <t>٥ بكيت ٥٠٠</t>
  </si>
  <si>
    <t>١٥ بكيت ١٠٠٠</t>
  </si>
  <si>
    <t xml:space="preserve">٤ بكيت </t>
  </si>
  <si>
    <t>برنس</t>
  </si>
  <si>
    <t>٦ بكيت ١٠٠٠</t>
  </si>
  <si>
    <t>شركة البذور الذهبية</t>
  </si>
  <si>
    <t>محمود يوسف دخل الله</t>
  </si>
  <si>
    <t>60بكيت/72د للبكيت</t>
  </si>
  <si>
    <t>كوسا</t>
  </si>
  <si>
    <t>١١٧٤</t>
  </si>
  <si>
    <t>دش</t>
  </si>
  <si>
    <t>٤ بكيت</t>
  </si>
  <si>
    <t>ابو عبدالله برهي</t>
  </si>
  <si>
    <t>٢٠ بكيت ١٠٠٠</t>
  </si>
  <si>
    <t>16/10/2023</t>
  </si>
  <si>
    <t>16/10/2024</t>
  </si>
  <si>
    <t>٥ بكيت ٥٠٠٠</t>
  </si>
  <si>
    <t>جالا</t>
  </si>
  <si>
    <t>٤ بكيت ١٠٠٠</t>
  </si>
  <si>
    <t>27/10/2023</t>
  </si>
  <si>
    <t>27/10/2024</t>
  </si>
  <si>
    <t>سكاي بكس</t>
  </si>
  <si>
    <t>٢٤ بكيت ٥٠٠</t>
  </si>
  <si>
    <t>18/10/2023</t>
  </si>
  <si>
    <t>محمد عيد مشاهدة</t>
  </si>
  <si>
    <t>١٨٩</t>
  </si>
  <si>
    <t>خس</t>
  </si>
  <si>
    <t>رضا</t>
  </si>
  <si>
    <t>من بكيت</t>
  </si>
  <si>
    <t>موسى ابوديان</t>
  </si>
  <si>
    <t>وفير</t>
  </si>
  <si>
    <t>٩ بكيت ١٠٠٠</t>
  </si>
  <si>
    <t>19/10/2023</t>
  </si>
  <si>
    <t>٣٠ بكيت ١٠٠٠</t>
  </si>
  <si>
    <t>23/10/2023</t>
  </si>
  <si>
    <t>١١ بكيت ٥٠٠</t>
  </si>
  <si>
    <t>21/10/2023</t>
  </si>
  <si>
    <t>نيوتن</t>
  </si>
  <si>
    <t xml:space="preserve">٢ بكيت </t>
  </si>
  <si>
    <t>22/10/2023</t>
  </si>
  <si>
    <t>٢٣ بكيت ١٠٠٠</t>
  </si>
  <si>
    <t>26/10/2023</t>
  </si>
  <si>
    <t>15/12/2023</t>
  </si>
  <si>
    <t>25/10/2023</t>
  </si>
  <si>
    <t>محمد عمر مشاهدة</t>
  </si>
  <si>
    <t>٢١ بكيت ١٠٠٠</t>
  </si>
  <si>
    <t>فيفالدي</t>
  </si>
  <si>
    <t>١٧ بكيت ١٠٠٠</t>
  </si>
  <si>
    <t>28/10/2023</t>
  </si>
  <si>
    <t>٨ بكيت ١٠٠٠</t>
  </si>
  <si>
    <t>بور ستار</t>
  </si>
  <si>
    <t>٢ بكيت ١٠٠٠</t>
  </si>
  <si>
    <t>29/10/2023</t>
  </si>
  <si>
    <t>دكايكس</t>
  </si>
  <si>
    <t>١/١٠٠</t>
  </si>
  <si>
    <t>١٨</t>
  </si>
  <si>
    <t>لاموس</t>
  </si>
  <si>
    <t>٦٠ بكيت ٥٠٠</t>
  </si>
  <si>
    <t>اصفر</t>
  </si>
  <si>
    <t>١٤ بكيت ١٠٠٠</t>
  </si>
  <si>
    <t>موزارت</t>
  </si>
  <si>
    <t>جلانيول</t>
  </si>
  <si>
    <t>كاسينو</t>
  </si>
  <si>
    <t>بيبي</t>
  </si>
  <si>
    <t>3+9</t>
  </si>
  <si>
    <t>٤٠ بكيت ١٠٠٠</t>
  </si>
  <si>
    <t>ارقام</t>
  </si>
  <si>
    <t>بورستار</t>
  </si>
  <si>
    <t>عماد عيد ابو ابو نقيرة</t>
  </si>
  <si>
    <t>دره</t>
  </si>
  <si>
    <t>٥٠ بكيت</t>
  </si>
  <si>
    <t>8+10</t>
  </si>
  <si>
    <t>١٢ بكيت</t>
  </si>
  <si>
    <t>هيرو ستار</t>
  </si>
  <si>
    <t>6بكيت 1000</t>
  </si>
  <si>
    <t>14/11/2023</t>
  </si>
  <si>
    <t>15/11/2023</t>
  </si>
  <si>
    <t>شركةالقوافل</t>
  </si>
  <si>
    <t xml:space="preserve">خيار </t>
  </si>
  <si>
    <t>18/11/2023</t>
  </si>
  <si>
    <t>زعتر بلدي</t>
  </si>
  <si>
    <t>خس رضا</t>
  </si>
  <si>
    <t>سيف الفيومي</t>
  </si>
  <si>
    <t>9بكيت1000</t>
  </si>
  <si>
    <t>19/11/2023</t>
  </si>
  <si>
    <t>٦٠ بكيت ١٠٠٠</t>
  </si>
  <si>
    <t>3+4</t>
  </si>
  <si>
    <t>20/11/2023</t>
  </si>
  <si>
    <t>م. عطاالله الوحواح</t>
  </si>
  <si>
    <t>22/11/2023</t>
  </si>
  <si>
    <t>23/11/2023</t>
  </si>
  <si>
    <t>زين</t>
  </si>
  <si>
    <t>٢٩ بكيت ١٠٠٠</t>
  </si>
  <si>
    <t>24/11/2023</t>
  </si>
  <si>
    <t>٩٤٩</t>
  </si>
  <si>
    <t xml:space="preserve">خس </t>
  </si>
  <si>
    <t>منبكيت</t>
  </si>
  <si>
    <t>28/11/2023</t>
  </si>
  <si>
    <t>ريحانة</t>
  </si>
  <si>
    <t xml:space="preserve">من عبوة </t>
  </si>
  <si>
    <t>29/11/2023</t>
  </si>
  <si>
    <t>مالك ابوالنجا</t>
  </si>
  <si>
    <t>كنز</t>
  </si>
  <si>
    <t>2بكيت</t>
  </si>
  <si>
    <t>4 بكيت</t>
  </si>
  <si>
    <t>30/11/2023</t>
  </si>
  <si>
    <t>ماريا</t>
  </si>
  <si>
    <t>منيعة</t>
  </si>
  <si>
    <t>1بكيت5000</t>
  </si>
  <si>
    <t>ردجارد</t>
  </si>
  <si>
    <t>من كرتونة</t>
  </si>
  <si>
    <t>يحيى ابو ديان</t>
  </si>
  <si>
    <t>ابو هاني</t>
  </si>
  <si>
    <t>هلا</t>
  </si>
  <si>
    <t>10 بكبت 1000</t>
  </si>
  <si>
    <t>1 بكبت</t>
  </si>
  <si>
    <t>13/12/2023</t>
  </si>
  <si>
    <t>سيرو</t>
  </si>
  <si>
    <t xml:space="preserve"> =77+126+63</t>
  </si>
  <si>
    <t xml:space="preserve">SUM of عدد الصواني </t>
  </si>
  <si>
    <t>المبلغ الكلي</t>
  </si>
  <si>
    <t xml:space="preserve"> مجموع الدفعات</t>
  </si>
  <si>
    <t>Grand Total</t>
  </si>
  <si>
    <t>المصدر</t>
  </si>
  <si>
    <t>كمية</t>
  </si>
  <si>
    <t>السعر</t>
  </si>
  <si>
    <t>مدفوع</t>
  </si>
  <si>
    <t>متبقي</t>
  </si>
  <si>
    <t>اسم الزبون</t>
  </si>
  <si>
    <t>عدد الصواني</t>
  </si>
  <si>
    <t>التاريخ البيع</t>
  </si>
  <si>
    <t>تاريخ التسليم</t>
  </si>
  <si>
    <t>آسم الزبون</t>
  </si>
  <si>
    <t>شمام</t>
  </si>
  <si>
    <t>ش مشكل</t>
  </si>
  <si>
    <t xml:space="preserve"> فهمي يونس ابوسمرا</t>
  </si>
  <si>
    <t>عدد البذور / بكيت</t>
  </si>
  <si>
    <t>رقم التواصل</t>
  </si>
  <si>
    <t>عبدالله كايد</t>
  </si>
  <si>
    <t>0797093010</t>
  </si>
  <si>
    <t>علي جاموس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</si>
</sst>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d&quot;-&quot;m&quot;-&quot;yy"/>
    <numFmt numFmtId="166" formatCode="yyyy-mm-dd"/>
    <numFmt numFmtId="167" formatCode="yyyy&quot;-&quot;mm&quot;-&quot;dd"/>
    <numFmt numFmtId="168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2"/>
    </xf>
    <xf borderId="0" fillId="2" fontId="1" numFmtId="164" xfId="0" applyAlignment="1" applyFont="1" applyNumberFormat="1">
      <alignment horizontal="center"/>
    </xf>
    <xf borderId="0" fillId="2" fontId="1" numFmtId="165" xfId="0" applyAlignment="1" applyFont="1" applyNumberFormat="1">
      <alignment horizontal="center"/>
    </xf>
    <xf borderId="0" fillId="2" fontId="2" numFmtId="0" xfId="0" applyAlignment="1" applyFont="1">
      <alignment horizontal="center" readingOrder="0"/>
    </xf>
    <xf borderId="0" fillId="0" fontId="1" numFmtId="0" xfId="0" applyAlignment="1" applyFont="1">
      <alignment horizontal="right" readingOrder="2"/>
    </xf>
    <xf borderId="0" fillId="0" fontId="1" numFmtId="164" xfId="0" applyAlignment="1" applyFont="1" applyNumberFormat="1">
      <alignment horizontal="right"/>
    </xf>
    <xf borderId="0" fillId="0" fontId="1" numFmtId="165" xfId="0" applyFont="1" applyNumberFormat="1"/>
    <xf borderId="0" fillId="0" fontId="1" numFmtId="0" xfId="0" applyAlignment="1" applyFont="1">
      <alignment horizontal="right" readingOrder="2"/>
    </xf>
    <xf borderId="0" fillId="0" fontId="1" numFmtId="166" xfId="0" applyAlignment="1" applyFont="1" applyNumberFormat="1">
      <alignment horizontal="right" readingOrder="0"/>
    </xf>
    <xf borderId="0" fillId="0" fontId="1" numFmtId="167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7" xfId="0" applyFont="1" applyNumberFormat="1"/>
    <xf borderId="0" fillId="0" fontId="1" numFmtId="164" xfId="0" applyAlignment="1" applyFont="1" applyNumberFormat="1">
      <alignment horizontal="right" readingOrder="0"/>
    </xf>
    <xf borderId="0" fillId="3" fontId="1" numFmtId="0" xfId="0" applyAlignment="1" applyFill="1" applyFont="1">
      <alignment horizontal="right" readingOrder="2"/>
    </xf>
    <xf borderId="0" fillId="3" fontId="1" numFmtId="164" xfId="0" applyAlignment="1" applyFont="1" applyNumberFormat="1">
      <alignment horizontal="right" readingOrder="0"/>
    </xf>
    <xf borderId="0" fillId="3" fontId="1" numFmtId="165" xfId="0" applyFont="1" applyNumberFormat="1"/>
    <xf borderId="0" fillId="3" fontId="1" numFmtId="0" xfId="0" applyAlignment="1" applyFont="1">
      <alignment horizontal="right" readingOrder="2"/>
    </xf>
    <xf borderId="0" fillId="0" fontId="1" numFmtId="168" xfId="0" applyAlignment="1" applyFont="1" applyNumberFormat="1">
      <alignment horizontal="right" readingOrder="0"/>
    </xf>
    <xf borderId="0" fillId="0" fontId="1" numFmtId="0" xfId="0" applyAlignment="1" applyFont="1">
      <alignment horizontal="right" readingOrder="0"/>
    </xf>
    <xf borderId="0" fillId="0" fontId="1" numFmtId="4" xfId="0" applyAlignment="1" applyFont="1" applyNumberFormat="1">
      <alignment horizontal="right" readingOrder="2"/>
    </xf>
    <xf borderId="0" fillId="0" fontId="1" numFmtId="1" xfId="0" applyAlignment="1" applyFont="1" applyNumberFormat="1">
      <alignment horizontal="right" readingOrder="2"/>
    </xf>
    <xf borderId="0" fillId="4" fontId="1" numFmtId="0" xfId="0" applyAlignment="1" applyFill="1" applyFont="1">
      <alignment horizontal="right" readingOrder="2"/>
    </xf>
    <xf borderId="0" fillId="5" fontId="1" numFmtId="0" xfId="0" applyAlignment="1" applyFill="1" applyFont="1">
      <alignment horizontal="right" readingOrder="2"/>
    </xf>
    <xf borderId="0" fillId="5" fontId="1" numFmtId="0" xfId="0" applyAlignment="1" applyFont="1">
      <alignment horizontal="right" readingOrder="2"/>
    </xf>
    <xf borderId="0" fillId="5" fontId="1" numFmtId="0" xfId="0" applyAlignment="1" applyFont="1">
      <alignment horizontal="right" readingOrder="0"/>
    </xf>
    <xf borderId="0" fillId="5" fontId="1" numFmtId="165" xfId="0" applyFont="1" applyNumberFormat="1"/>
    <xf borderId="0" fillId="6" fontId="2" numFmtId="0" xfId="0" applyAlignment="1" applyFill="1" applyFont="1">
      <alignment horizontal="right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right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right" readingOrder="2"/>
    </xf>
    <xf borderId="0" fillId="2" fontId="1" numFmtId="0" xfId="0" applyAlignment="1" applyFont="1">
      <alignment readingOrder="0"/>
    </xf>
    <xf borderId="0" fillId="0" fontId="1" numFmtId="0" xfId="0" applyAlignment="1" applyFont="1">
      <alignment horizontal="right" readingOrder="2"/>
    </xf>
    <xf borderId="0" fillId="2" fontId="3" numFmtId="0" xfId="0" applyAlignment="1" applyFont="1">
      <alignment horizontal="right" readingOrder="2" vertical="bottom"/>
    </xf>
    <xf borderId="0" fillId="2" fontId="1" numFmtId="49" xfId="0" applyAlignment="1" applyFont="1" applyNumberFormat="1">
      <alignment horizontal="right" readingOrder="0"/>
    </xf>
    <xf borderId="0" fillId="0" fontId="3" numFmtId="0" xfId="0" applyAlignment="1" applyFont="1">
      <alignment horizontal="right" readingOrder="2" vertical="bottom"/>
    </xf>
    <xf borderId="0" fillId="0" fontId="1" numFmtId="49" xfId="0" applyAlignment="1" applyFont="1" applyNumberFormat="1">
      <alignment horizontal="right"/>
    </xf>
    <xf borderId="0" fillId="0" fontId="3" numFmtId="0" xfId="0" applyAlignment="1" applyFont="1">
      <alignment horizontal="right" readingOrder="2" vertical="bottom"/>
    </xf>
    <xf borderId="0" fillId="0" fontId="1" numFmtId="49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284" sheet="2023"/>
  </cacheSource>
  <cacheFields>
    <cacheField name="الاسم" numFmtId="0">
      <sharedItems containsBlank="1">
        <s v="سعيد درويش"/>
        <s v="رشدي ضراغمة "/>
        <s v="محمد درويش"/>
        <s v="اشرف الرشدان"/>
        <s v="بسام جبارات"/>
        <s v="شركة الخارطة"/>
        <s v="وليد الفقير"/>
        <s v="فهمي يونس ابوسمرا"/>
        <s v="محمد اسماعيل الشوبكي"/>
        <s v="حسين عريج"/>
        <s v="المشتل"/>
        <s v="اشرف كمال"/>
        <s v="حافظ الشوبكي"/>
        <s v="محمد الحويطي"/>
        <s v="ابو معاذ الوحشة"/>
        <s v="يحيى بليلات"/>
        <s v="مخلد الشامي"/>
        <s v="طايل الدوجان"/>
        <s v="محمد صبيح"/>
        <s v="رمضان ابو صليح"/>
        <s v="م. يوسف كايد"/>
        <s v="فؤاد جبارات"/>
        <s v="م. احمد مرمش"/>
        <s v="عماد المرايحة"/>
        <s v="عبدالقادر العسولي"/>
        <s v="خالد فارس الشوبكي"/>
        <s v="احمد العساف "/>
        <s v="عاطف ابو النجا"/>
        <s v="محمد محمود ابو صليح"/>
        <s v="احمد التعمري"/>
        <s v="حسين العساف"/>
        <s v="احمد خميس ابو عبدالله"/>
        <s v="شركة القوافل"/>
        <s v="كرم عبد الرازق"/>
        <s v="حابس ابو نجا"/>
        <s v="احمدخميس"/>
        <s v="موسى يوسف"/>
        <s v="م. احمد الفار"/>
        <s v="اسامة يوسف دخل الله"/>
        <s v="احمد عساف"/>
        <s v="مزارع ابناء القاسم"/>
        <s v="ابراهيم الشوبكي"/>
        <s v="محمود الحويطي"/>
        <s v="ابو اشرف الباكستاني"/>
        <s v="ابو ابراهيم التعمري"/>
        <s v="شركة استرا"/>
        <s v="ابو صلاح ايوب"/>
        <s v="مالك ابو نجا"/>
        <s v="خالد ابو دعيس"/>
        <s v="اسامة التعمري"/>
        <s v="زيد التعمري"/>
        <s v="عدنان النورس"/>
        <s v="فواز بريزات"/>
        <s v="شركة البذور الذهبية"/>
        <s v="محمود يوسف دخل الله"/>
        <s v="ابو عبدالله برهي"/>
        <s v="محمد عيد مشاهدة"/>
        <s v="موسى ابوديان"/>
        <s v="محمد عمر مشاهدة"/>
        <s v="عماد عيد ابو ابو نقيرة"/>
        <s v="شركةالقوافل"/>
        <s v="سيف الفيومي"/>
        <s v="م. عطاالله الوحواح"/>
        <s v="مالك ابوالنجا"/>
        <s v="يحيى ابو ديان"/>
        <s v="ابو هاني"/>
        <m/>
      </sharedItems>
    </cacheField>
    <cacheField name="الصنف" numFmtId="0">
      <sharedItems containsBlank="1">
        <s v="بامية"/>
        <s v="باذنجان"/>
        <s v="فلفل"/>
        <s v="باميا"/>
        <s v="شمام "/>
        <s v="ريحان"/>
        <s v="بطيخ"/>
        <s v="مشكل"/>
        <s v="شمندر"/>
        <s v="بندورة"/>
        <s v="خيار"/>
        <s v="بروكلي"/>
        <s v="شومر"/>
        <s v="فاصولياء"/>
        <s v="زهرة"/>
        <s v="ملفوف"/>
        <s v="بصل"/>
        <s v="قرع"/>
        <s v="كوسا"/>
        <s v="خس"/>
        <s v="خيار "/>
        <s v="زعتر بلدي"/>
        <s v="خس رضا"/>
        <s v="خس "/>
        <m/>
      </sharedItems>
    </cacheField>
    <cacheField name="النوع">
      <sharedItems containsBlank="1" containsMixedTypes="1" containsNumber="1" containsInteger="1">
        <s v="سمارت"/>
        <m/>
        <s v="تبذير"/>
        <s v="حمصي"/>
        <s v="تجارب"/>
        <s v="بيك"/>
        <s v="بيشن"/>
        <s v="سوس"/>
        <s v="جاكور"/>
        <n v="501.0"/>
        <s v="بور"/>
        <s v="برشلونة"/>
        <s v="اخضر"/>
        <s v="صيدا"/>
        <n v="5460.0"/>
        <n v="6390.0"/>
        <n v="6500.0"/>
        <s v="تاجو"/>
        <s v="ملون"/>
        <s v="مشكل"/>
        <s v="الاولى"/>
        <s v="غزال"/>
        <s v="ريم"/>
        <s v="داليا"/>
        <s v="ميار"/>
        <s v="جوري"/>
        <s v="بركان"/>
        <n v="1574.0"/>
        <s v="حار"/>
        <s v="روجا"/>
        <s v="معن"/>
        <n v="129.0"/>
        <s v="ايراد"/>
        <s v="باريوز"/>
        <n v="215.0"/>
        <n v="211.0"/>
        <s v="احمر"/>
        <s v="كلوراي ابيض"/>
        <s v="كلوراي احمر"/>
        <s v="رقم1"/>
        <s v="رقم2"/>
        <s v="مكسيم"/>
        <s v="ياقوت"/>
        <s v="درة"/>
        <n v="4.0"/>
        <s v="اليكس"/>
        <n v="46.0"/>
        <s v="سلمى"/>
        <s v="قيصر"/>
        <s v="ريما"/>
        <s v="ديما"/>
        <s v="سينجل"/>
        <n v="11.0"/>
        <s v="٥٠١"/>
        <s v="ودجارو"/>
        <s v="١٢٩"/>
        <s v="سميلا"/>
        <n v="4040.0"/>
        <s v="تكساس"/>
        <s v="٠٨٥"/>
        <s v="رقم ١"/>
        <s v="كنار"/>
        <s v="١٥٧٤"/>
        <s v="تمارة"/>
        <s v="عز"/>
        <s v="بل"/>
        <s v="عناقيد"/>
        <s v="٠٢٠٥٦"/>
        <s v="٠٢٠٣١"/>
        <s v="٢٠٥"/>
        <s v="٤٠١١"/>
        <s v="٤٠٤٠"/>
        <s v="شير"/>
        <s v="نورس"/>
        <s v="شهم"/>
        <s v="ياتوا"/>
        <s v="سلطة"/>
        <s v="نورين"/>
        <s v="١٠٤"/>
        <s v="٠٢٦٥٢"/>
        <s v="قطية"/>
        <s v="برنس"/>
        <s v="١١٧٤"/>
        <s v="دش"/>
        <s v="جالا"/>
        <s v="سكاي بكس"/>
        <s v="١٨٩"/>
        <s v="رضا"/>
        <s v="وفير"/>
        <s v="نيوتن"/>
        <s v="فيفالدي"/>
        <s v="بور ستار"/>
        <s v="دكايكس"/>
        <s v="١/١٠٠"/>
        <s v="لاموس"/>
        <s v="اصفر"/>
        <s v="موزارت"/>
        <s v="جلانيول"/>
        <s v="كاسينو"/>
        <s v="بيبي"/>
        <s v="بورستار"/>
        <s v="دره"/>
        <n v="104.0"/>
        <s v="هيرو ستار"/>
        <n v="12.0"/>
        <s v="زين"/>
        <s v="٩٤٩"/>
        <s v="ريحانة"/>
        <s v="كنز"/>
        <n v="552.0"/>
        <n v="511.0"/>
        <s v="ماريا"/>
        <s v="منيعة"/>
        <s v="ردجارد"/>
        <s v="من كرتونة"/>
        <s v="هلا"/>
        <n v="23.0"/>
        <s v="سيرو"/>
      </sharedItems>
    </cacheField>
    <cacheField name="الكمية">
      <sharedItems containsBlank="1" containsMixedTypes="1" containsNumber="1" containsInteger="1">
        <s v="16*35"/>
        <s v="10*100"/>
        <m/>
        <s v="25 بكيت"/>
        <s v="20 بكيت"/>
        <s v="2 بكيت"/>
        <s v="10 بكيت"/>
        <s v="15 بكيت"/>
        <s v="30 بكيت"/>
        <s v="17 بكيت"/>
        <s v="12 بكيت"/>
        <s v="1 بكيت"/>
        <s v="44 بكيت"/>
        <s v="16 بكيت"/>
        <s v="3 بكيت"/>
        <s v="19 بكيت"/>
        <s v="49 بكيت "/>
        <s v="219 بكيت"/>
        <s v="12 بكيت 500"/>
        <s v="40 بكيت 1000"/>
        <s v="120 بكيت 1000"/>
        <s v="5 بكيت 1000"/>
        <s v="20 بكيت 1000"/>
        <s v="17 بكيت 1000"/>
        <s v="35 بكيت 1000"/>
        <s v="100 بكيت 1000"/>
        <s v="13 بكيت 1000"/>
        <s v="3 بكيت 1000"/>
        <s v="10 بكيت 1000"/>
        <s v="47 بكيت 1000"/>
        <s v="9 بكيت 1000"/>
        <s v="70 بكيت 1000"/>
        <s v="1 بكيت 1000"/>
        <s v="7 بكيت 1000"/>
        <s v="15 بكيت 1000"/>
        <s v="16 بكيت 1000"/>
        <s v="6 بكيت 1000"/>
        <s v="8 بكيت 1000"/>
        <s v="1 بكيت 1500"/>
        <s v="2 بكيت "/>
        <s v="25 بكيت 500"/>
        <s v="14 بكيت 1000"/>
        <s v="1 بكيت 5000"/>
        <s v="12 بكيت 1000"/>
        <s v="30 بكيت 1000"/>
        <s v="4 بكيت 1000"/>
        <s v="بكيت"/>
        <s v="1 بكيت 2000"/>
        <s v="100 بكيت"/>
        <s v="2 بكيت 100"/>
        <s v="30بكيت 1000"/>
        <s v="من عبوة"/>
        <s v="٣ بكيت ١٠٠٠"/>
        <s v="١ بكيت ٥٠٠٠"/>
        <s v="١٢ بكيت ١٠٠٠"/>
        <s v="١٣ بكيت ١٠٠٠"/>
        <s v="٢ بكيت"/>
        <s v="٧ بكيت"/>
        <s v="٢٣ بكيت"/>
        <s v="٢٥ بكيت ١٠٠٠"/>
        <s v="١ بكيت ٥٠٠"/>
        <s v="١١ بكيت ١٠٠٠"/>
        <s v="١ بكيت ١٠٠٠"/>
        <s v="١ بكيت"/>
        <s v="عبوة"/>
        <s v="٥ بكيت"/>
        <s v="٣٥ بكيت ١٠٠٠"/>
        <s v="٣٠ بكيت ١٠٠٠ "/>
        <s v="١٠ بكيت ١٠٠٠"/>
        <s v="٥ بكيت ١٠٠٠"/>
        <s v="١٠ بكيت"/>
        <s v="٣ بكيت"/>
        <s v="١ بكيت ٣٠٠"/>
        <s v="٥ بكيت ٥٠٠"/>
        <s v="١٥ بكيت ١٠٠٠"/>
        <s v="٤ بكيت "/>
        <s v="٦ بكيت ١٠٠٠"/>
        <s v="٤ بكيت"/>
        <s v="٢٠ بكيت ١٠٠٠"/>
        <s v="٥ بكيت ٥٠٠٠"/>
        <s v="٤ بكيت ١٠٠٠"/>
        <s v="٢٤ بكيت ٥٠٠"/>
        <s v="من بكيت"/>
        <s v="٩ بكيت ١٠٠٠"/>
        <s v="٣٠ بكيت ١٠٠٠"/>
        <s v="١١ بكيت ٥٠٠"/>
        <s v="٢ بكيت "/>
        <s v="٢٣ بكيت ١٠٠٠"/>
        <s v="٢١ بكيت ١٠٠٠"/>
        <s v="١٧ بكيت ١٠٠٠"/>
        <s v="٨ بكيت ١٠٠٠"/>
        <s v="٢ بكيت ١٠٠٠"/>
        <s v="١٨"/>
        <s v="٦٠ بكيت ٥٠٠"/>
        <s v="١٤ بكيت ١٠٠٠"/>
        <s v="٤٠ بكيت ١٠٠٠"/>
        <s v="ارقام"/>
        <s v="٥٠ بكيت"/>
        <s v="١٢ بكيت"/>
        <s v="6بكيت 1000"/>
        <s v="9بكيت1000"/>
        <s v="٦٠ بكيت ١٠٠٠"/>
        <s v="٢٩ بكيت ١٠٠٠"/>
        <s v="منبكيت"/>
        <s v="من عبوة "/>
        <s v="2بكيت"/>
        <s v="4 بكيت"/>
        <n v="2.0"/>
        <n v="5.0"/>
        <n v="1.0"/>
        <s v="1بكيت5000"/>
        <n v="7700.0"/>
        <n v="27170.0"/>
        <n v="1881.0"/>
        <s v="10 بكبت 1000"/>
        <s v="1 بكبت"/>
      </sharedItems>
    </cacheField>
    <cacheField name="تاريخ التشتيل">
      <sharedItems containsDate="1" containsBlank="1" containsMixedTypes="1">
        <m/>
        <d v="2023-03-06T00:00:00Z"/>
        <d v="2023-04-06T00:00:00Z"/>
        <d v="2023-06-06T00:00:00Z"/>
        <d v="2023-06-07T00:00:00Z"/>
        <s v="14/6/2023"/>
        <s v="14/6/2024"/>
        <s v="19/6/2023"/>
        <s v="21/6/2023"/>
        <s v="22/6/2023"/>
        <s v="24/6/2023"/>
        <s v="25/6/2023"/>
        <s v="26/6/2023"/>
        <s v="27/6/2023"/>
        <d v="2023-02-07T00:00:00Z"/>
        <d v="2023-11-07T00:00:00Z"/>
        <s v="15/7/2023"/>
        <s v="18/7/2023"/>
        <s v="19/7/2023"/>
        <s v="22/7/2023"/>
        <s v="25/7/2023"/>
        <s v="27/7/2023"/>
        <s v="30/7/2023"/>
        <d v="2023-01-08T00:00:00Z"/>
        <s v="31/7/2023"/>
        <d v="2023-10-08T00:00:00Z"/>
        <d v="2023-12-08T00:00:00Z"/>
        <d v="2023-08-08T00:00:00Z"/>
        <d v="2023-09-08T00:00:00Z"/>
        <s v="13/8/2023"/>
        <s v="14/8/2023"/>
        <s v="19/8/2023"/>
        <s v="20/08/2023"/>
        <s v="20/8/2023"/>
        <d v="2023-04-09T00:00:00Z"/>
        <d v="2023-05-09T00:00:00Z"/>
        <d v="2023-03-08T00:00:00Z"/>
        <s v="25/8/2023"/>
        <s v="27/8/2023"/>
        <d v="2023-03-09T00:00:00Z"/>
        <d v="2023-06-09T00:00:00Z"/>
        <d v="2023-07-09T00:00:00Z"/>
        <d v="2023-08-09T00:00:00Z"/>
        <d v="2023-09-09T00:00:00Z"/>
        <d v="2023-11-09T00:00:00Z"/>
        <d v="2023-10-09T00:00:00Z"/>
        <d v="2023-12-09T00:00:00Z"/>
        <s v="13/9/2023"/>
        <s v="16/9/2023"/>
        <s v="14/9/2023"/>
        <s v="17/9/2023"/>
        <s v="18/9/2023"/>
        <s v="19/9/2023"/>
        <s v="18/9/2024"/>
        <s v="18/9/2025"/>
        <s v="18/9/2026"/>
        <s v="19/9/2027"/>
        <s v="20/9/2023"/>
        <s v="21/9/2023"/>
        <s v="21/9/2024"/>
        <s v="23/9/2023"/>
        <s v="25/9/2023"/>
        <s v="25-26/9/2023"/>
        <s v="26/9/2023"/>
        <d v="2023-03-10T00:00:00Z"/>
        <s v="27/9/2023"/>
        <s v="27/9/2024"/>
        <d v="2023-04-10T00:00:00Z"/>
        <d v="2023-08-10T00:00:00Z"/>
        <d v="2023-09-10T00:00:00Z"/>
        <s v="16/10/2023"/>
        <s v="16/10/2024"/>
        <s v="27/10/2023"/>
        <s v="27/10/2024"/>
        <s v="18/10/2023"/>
        <s v="19/10/2023"/>
        <s v="23/10/2023"/>
        <s v="21/10/2023"/>
        <s v="22/10/2023"/>
        <s v="26/10/2023"/>
        <s v="25/10/2023"/>
        <s v="28/10/2023"/>
        <s v="29/10/2023"/>
        <d v="2023-01-11T00:00:00Z"/>
        <d v="2023-02-11T00:00:00Z"/>
        <d v="2023-04-11T00:00:00Z"/>
        <d v="2023-05-11T00:00:00Z"/>
        <d v="2023-07-11T00:00:00Z"/>
        <d v="2023-06-11T00:00:00Z"/>
        <d v="2023-08-11T00:00:00Z"/>
        <d v="2023-12-11T00:00:00Z"/>
        <s v="14/11/2023"/>
        <s v="15/11/2023"/>
        <s v="18/11/2023"/>
        <s v="19/11/2023"/>
        <s v="20/11/2023"/>
        <s v="22/11/2023"/>
        <s v="23/11/2023"/>
        <s v="24/11/2023"/>
        <s v="28/11/2023"/>
        <s v="29/11/2023"/>
        <s v="30/11/2023"/>
        <d v="2023-02-12T00:00:00Z"/>
        <d v="2023-03-12T00:00:00Z"/>
        <d v="2023-05-12T00:00:00Z"/>
        <d v="2023-10-12T00:00:00Z"/>
        <d v="2023-12-12T00:00:00Z"/>
        <s v="13/12/2023"/>
      </sharedItems>
    </cacheField>
    <cacheField name="عدد الصواني ">
      <sharedItems containsBlank="1" containsMixedTypes="1" containsNumber="1" containsInteger="1">
        <n v="275.0"/>
        <n v="73.0"/>
        <n v="100.0"/>
        <n v="125.0"/>
        <n v="9.0"/>
        <n v="142.0"/>
        <n v="149.0"/>
        <n v="35.0"/>
        <n v="170.0"/>
        <n v="301.0"/>
        <n v="330.0"/>
        <n v="870.0"/>
        <n v="112.0"/>
        <n v="222.0"/>
        <n v="123.0"/>
        <n v="87.0"/>
        <n v="8.0"/>
        <n v="300.0"/>
        <n v="216.0"/>
        <n v="79.0"/>
        <n v="74.0"/>
        <n v="95.0"/>
        <n v="49.0"/>
        <n v="118.0"/>
        <n v="156.0"/>
        <n v="1052.0"/>
        <n v="70.0"/>
        <n v="30.0"/>
        <n v="196.0"/>
        <n v="590.0"/>
        <n v="24.0"/>
        <n v="22.0"/>
        <n v="99.0"/>
        <n v="81.0"/>
        <n v="10.0"/>
        <n v="6.0"/>
        <n v="495.0"/>
        <n v="63.0"/>
        <n v="15.0"/>
        <n v="280.0"/>
        <n v="55.0"/>
        <n v="115.0"/>
        <n v="215.0"/>
        <n v="38.0"/>
        <n v="505.0"/>
        <n v="1025.0"/>
        <n v="98.0"/>
        <n v="233.0"/>
        <n v="336.0"/>
        <n v="76.0"/>
        <n v="62.0"/>
        <n v="25.0"/>
        <n v="5.0"/>
        <n v="34.0"/>
        <n v="72.0"/>
        <n v="103.0"/>
        <n v="31.0"/>
        <n v="7.0"/>
        <n v="61.0"/>
        <n v="40.0"/>
        <n v="48.0"/>
        <n v="50.0"/>
        <n v="67.0"/>
        <n v="4.0"/>
        <m/>
        <n v="94.0"/>
        <n v="152.0"/>
        <n v="20.0"/>
        <n v="116.0"/>
        <n v="18.0"/>
        <n v="266.0"/>
        <n v="53.0"/>
        <n v="2.0"/>
        <n v="169.0"/>
        <n v="129.0"/>
        <n v="240.0"/>
        <n v="320.0"/>
        <n v="260.0"/>
        <n v="58.0"/>
        <n v="92.0"/>
        <n v="82.0"/>
        <n v="23.0"/>
        <n v="42.0"/>
        <n v="44.0"/>
        <n v="93.0"/>
        <n v="11.0"/>
        <n v="165.0"/>
        <n v="143.0"/>
        <n v="3.0"/>
        <n v="13.0"/>
        <n v="190.0"/>
        <n v="140.0"/>
        <n v="225.0"/>
        <n v="54.0"/>
        <n v="59.0"/>
        <n v="47.0"/>
        <n v="97.0"/>
        <n v="150.0"/>
        <n v="110.0"/>
        <n v="250.0"/>
        <n v="0.0"/>
        <n v="200.0"/>
        <n v="480.0"/>
        <n v="148.0"/>
        <n v="14.0"/>
        <n v="180.0"/>
        <n v="194.0"/>
        <n v="71.0"/>
        <n v="205.0"/>
        <n v="295.0"/>
        <n v="45.0"/>
        <n v="43.0"/>
        <n v="175.0"/>
        <n v="217.0"/>
        <n v="412.0"/>
        <n v="96.0"/>
        <n v="27.0"/>
        <n v="220.0"/>
        <n v="340.0"/>
        <n v="85.0"/>
        <n v="21.0"/>
        <n v="16.0"/>
        <n v="64.0"/>
        <n v="363.0"/>
        <n v="168.0"/>
        <n v="121.0"/>
        <n v="131.0"/>
        <n v="422.0"/>
        <n v="130.0"/>
        <n v="332.0"/>
        <n v="12.0"/>
        <n v="69.0"/>
        <n v="248.0"/>
        <n v="60.0"/>
        <n v="310.0"/>
        <n v="29.0"/>
        <n v="184.0"/>
        <n v="370.0"/>
        <n v="65.0"/>
        <n v="33.0"/>
        <n v="245.0"/>
        <n v="650.0"/>
        <n v="37.0"/>
        <n v="68.0"/>
        <n v="232.0"/>
        <s v=" =77+126+63"/>
      </sharedItems>
    </cacheField>
    <cacheField name="رقم البيت">
      <sharedItems containsBlank="1" containsMixedTypes="1" containsNumber="1" containsInteger="1">
        <n v="3.0"/>
        <n v="1.0"/>
        <n v="7.0"/>
        <n v="6.0"/>
        <n v="5.0"/>
        <n v="4.0"/>
        <n v="8.0"/>
        <n v="10.0"/>
        <n v="9.0"/>
        <m/>
        <s v="9+4"/>
        <s v="3+9"/>
        <s v="8+10"/>
        <s v="3+4"/>
      </sharedItems>
    </cacheField>
    <cacheField name="تاريخ الاستلام ">
      <sharedItems containsDate="1" containsBlank="1" containsMixedTypes="1">
        <m/>
        <d v="2023-07-25T00:00:00Z"/>
        <d v="2023-08-10T00:00:00Z"/>
        <d v="2023-09-01T00:00:00Z"/>
        <d v="2023-09-05T00:00:00Z"/>
        <d v="2023-09-20T00:00:00Z"/>
        <d v="2023-10-01T00:00:00Z"/>
        <s v="15/12/2023"/>
      </sharedItems>
    </cacheField>
    <cacheField name="مصـد البذور">
      <sharedItems containsBlank="1" containsMixedTypes="1" containsNumber="1" containsInteger="1">
        <m/>
        <s v="17بكيت/20د للبكيت"/>
        <s v="1بكيت/17 للبكيت"/>
        <s v="&#10;44بكيت/18د للبكيت"/>
        <n v="140.0"/>
        <s v="10بكيت+تشتيل"/>
        <s v="20بكيت/18د للبكيت"/>
        <s v="17بكيت/18د للبكيت"/>
        <s v="100بكيت/20دللبكيت"/>
        <s v="13بكيت/18د للبكيت"/>
        <s v="10بكيت/30د للبكيت/القوافل"/>
        <s v="20بكيت/30د للبكيت/القوافل"/>
        <s v="20بكيت/30د للبكيت"/>
        <s v="300صينية/7.5د للصينية"/>
        <s v="2بكيت/20د للبكيت/الشركة الاولى"/>
        <s v="1بكيت/20د للبكيت/الشركة الاولى"/>
        <s v="3بكيت/38د للبكيت/وليد دحنون"/>
        <s v="10.15د للصينية"/>
        <s v="10.15 د للصينية"/>
        <s v="5بكيت/40د للبكيت"/>
        <s v="10بكيتات/38د للبكيت/وليد دحنون"/>
        <s v="60بكيت/72د للبكيت"/>
      </sharedItems>
    </cacheField>
    <cacheField name="قيمة الخصم" numFmtId="0">
      <sharedItems containsSemiMixedTypes="0" containsString="0" containsNumber="1" containsInteger="1">
        <n v="0.0"/>
        <n v="22.0"/>
      </sharedItems>
    </cacheField>
    <cacheField name="المبلغ" numFmtId="0">
      <sharedItems containsSemiMixedTypes="0" containsString="0" containsNumber="1">
        <n v="550.0"/>
        <n v="143.0"/>
        <n v="200.0"/>
        <n v="190.0"/>
        <n v="250.0"/>
        <n v="23.5"/>
        <n v="284.0"/>
        <n v="298.0"/>
        <n v="70.0"/>
        <n v="340.0"/>
        <n v="602.0"/>
        <n v="660.0"/>
        <n v="1740.0"/>
        <n v="224.0"/>
        <n v="444.0"/>
        <n v="246.0"/>
        <n v="174.0"/>
        <n v="33.0"/>
        <n v="525.0"/>
        <n v="1224.0"/>
        <n v="158.0"/>
        <n v="0.0"/>
        <n v="588.0"/>
        <n v="236.0"/>
        <n v="312.0"/>
        <n v="2100.0"/>
        <n v="140.0"/>
        <n v="60.0"/>
        <n v="392.0"/>
        <n v="1180.0"/>
        <n v="48.0"/>
        <n v="44.0"/>
        <n v="196.0"/>
        <n v="162.0"/>
        <n v="20.0"/>
        <n v="12.0"/>
        <n v="2990.0"/>
        <n v="360.0"/>
        <n v="30.0"/>
        <n v="560.0"/>
        <n v="410.0"/>
        <n v="730.0"/>
        <n v="430.0"/>
        <n v="1010.0"/>
        <n v="2050.0"/>
        <n v="990.0"/>
        <n v="796.0"/>
        <n v="466.0"/>
        <n v="98.0"/>
        <n v="2250.0"/>
        <n v="152.0"/>
        <n v="16.0"/>
        <n v="124.0"/>
        <n v="50.0"/>
        <n v="10.0"/>
        <n v="68.0"/>
        <n v="144.0"/>
        <n v="206.0"/>
        <n v="215.25"/>
        <n v="76.0"/>
        <n v="62.0"/>
        <n v="14.0"/>
        <n v="120.0"/>
        <n v="96.0"/>
        <n v="100.0"/>
        <n v="134.0"/>
        <n v="8.0"/>
        <n v="164.5"/>
        <n v="304.0"/>
        <n v="40.0"/>
        <n v="232.0"/>
        <n v="36.0"/>
        <n v="532.0"/>
        <n v="106.0"/>
        <n v="338.0"/>
        <n v="258.0"/>
        <n v="480.0"/>
        <n v="75.0"/>
        <n v="640.0"/>
        <n v="42.0"/>
        <n v="520.0"/>
        <n v="116.0"/>
        <n v="126.0"/>
        <n v="184.0"/>
        <n v="394.0"/>
        <n v="164.0"/>
        <n v="46.0"/>
        <n v="1177.4"/>
        <n v="1309.35"/>
        <n v="73.5"/>
        <n v="77.0"/>
        <n v="186.0"/>
        <n v="148.0"/>
        <n v="22.0"/>
        <n v="80.0"/>
        <n v="330.0"/>
        <n v="110.0"/>
        <n v="286.0"/>
        <n v="6.0"/>
        <n v="26.0"/>
        <n v="1928.5"/>
        <n v="280.0"/>
        <n v="108.0"/>
        <n v="118.0"/>
        <n v="94.0"/>
        <n v="170.0"/>
        <n v="300.0"/>
        <n v="1522.5"/>
        <n v="220.0"/>
        <n v="1340.0"/>
        <n v="296.0"/>
        <n v="84.0"/>
        <n v="180.0"/>
        <n v="28.0"/>
        <n v="388.0"/>
        <n v="142.0"/>
        <n v="87.5"/>
        <n v="4910.0"/>
        <n v="81.0"/>
        <n v="350.0"/>
        <n v="434.0"/>
        <n v="230.0"/>
        <n v="824.0"/>
        <n v="192.0"/>
        <n v="54.0"/>
        <n v="500.0"/>
        <n v="90.0"/>
        <n v="168.0"/>
        <n v="32.0"/>
        <n v="464.0"/>
      </sharedItems>
    </cacheField>
    <cacheField name="المتبقي" numFmtId="0">
      <sharedItems containsSemiMixedTypes="0" containsString="0" containsNumber="1">
        <n v="550.0"/>
        <n v="143.0"/>
        <n v="200.0"/>
        <n v="90.0"/>
        <n v="250.0"/>
        <n v="23.5"/>
        <n v="284.0"/>
        <n v="298.0"/>
        <n v="70.0"/>
        <n v="340.0"/>
        <n v="602.0"/>
        <n v="660.0"/>
        <n v="1740.0"/>
        <n v="224.0"/>
        <n v="64.0"/>
        <n v="246.0"/>
        <n v="174.0"/>
        <n v="33.0"/>
        <n v="525.0"/>
        <n v="1224.0"/>
        <n v="158.0"/>
        <n v="0.0"/>
        <n v="190.0"/>
        <n v="588.0"/>
        <n v="236.0"/>
        <n v="312.0"/>
        <n v="2104.0"/>
        <n v="40.0"/>
        <n v="60.0"/>
        <n v="392.0"/>
        <n v="196.0"/>
        <n v="20.0"/>
        <n v="12.0"/>
        <n v="2990.0"/>
        <n v="360.0"/>
        <n v="30.0"/>
        <n v="560.0"/>
        <n v="410.0"/>
        <n v="730.0"/>
        <n v="430.0"/>
        <n v="1010.0"/>
        <n v="2050.0"/>
        <n v="990.0"/>
        <n v="796.0"/>
        <n v="466.0"/>
        <n v="98.0"/>
        <n v="2250.0"/>
        <n v="152.0"/>
        <n v="16.0"/>
        <n v="124.0"/>
        <n v="50.0"/>
        <n v="10.0"/>
        <n v="68.0"/>
        <n v="144.0"/>
        <n v="48.0"/>
        <n v="206.0"/>
        <n v="-269.75"/>
        <n v="28.0"/>
        <n v="76.0"/>
        <n v="-100.0"/>
        <n v="62.0"/>
        <n v="14.0"/>
        <n v="120.0"/>
        <n v="96.0"/>
        <n v="100.0"/>
        <n v="134.0"/>
        <n v="8.0"/>
        <n v="164.5"/>
        <n v="304.0"/>
        <n v="232.0"/>
        <n v="36.0"/>
        <n v="532.0"/>
        <n v="106.0"/>
        <n v="338.0"/>
        <n v="258.0"/>
        <n v="-520.0"/>
        <n v="-221.6"/>
        <n v="75.0"/>
        <n v="640.0"/>
        <n v="42.0"/>
        <n v="520.0"/>
        <n v="116.0"/>
        <n v="126.0"/>
        <n v="184.0"/>
        <n v="394.0"/>
        <n v="164.0"/>
        <n v="46.0"/>
        <n v="1177.4"/>
        <n v="1309.35"/>
        <n v="73.5"/>
        <n v="-63.0"/>
        <n v="186.0"/>
        <n v="148.0"/>
        <n v="22.0"/>
        <n v="80.0"/>
        <n v="330.0"/>
        <n v="110.0"/>
        <n v="286.0"/>
        <n v="6.0"/>
        <n v="26.0"/>
        <n v="1928.5"/>
        <n v="280.0"/>
        <n v="108.0"/>
        <n v="118.0"/>
        <n v="94.0"/>
        <n v="170.0"/>
        <n v="300.0"/>
        <n v="1522.5"/>
        <n v="220.0"/>
        <n v="140.0"/>
        <n v="1340.0"/>
        <n v="71.0"/>
        <n v="84.0"/>
        <n v="388.0"/>
        <n v="142.0"/>
        <n v="87.5"/>
        <n v="4910.0"/>
        <n v="81.0"/>
        <n v="350.0"/>
        <n v="434.0"/>
        <n v="230.0"/>
        <n v="824.0"/>
        <n v="192.0"/>
        <n v="54.0"/>
        <n v="500.0"/>
        <n v="168.0"/>
        <n v="32.0"/>
        <n v="464.0"/>
      </sharedItems>
    </cacheField>
    <cacheField name="مجموع الدفعات" numFmtId="0">
      <sharedItems containsSemiMixedTypes="0" containsString="0" containsNumber="1">
        <n v="0.0"/>
        <n v="100.0"/>
        <n v="380.0"/>
        <n v="1180.0"/>
        <n v="48.0"/>
        <n v="22.0"/>
        <n v="162.0"/>
        <n v="485.0"/>
        <n v="32.0"/>
        <n v="150.0"/>
        <n v="1000.0"/>
        <n v="237.6"/>
        <n v="140.0"/>
        <n v="225.0"/>
        <n v="180.0"/>
      </sharedItems>
    </cacheField>
    <cacheField name="دفعة ١" numFmtId="0">
      <sharedItems containsString="0" containsBlank="1" containsNumber="1">
        <m/>
        <n v="100.0"/>
        <n v="200.0"/>
        <n v="50.0"/>
        <n v="1180.0"/>
        <n v="48.0"/>
        <n v="22.0"/>
        <n v="162.0"/>
        <n v="485.0"/>
        <n v="32.0"/>
        <n v="150.0"/>
        <n v="1000.0"/>
        <n v="237.6"/>
        <n v="140.0"/>
        <n v="225.0"/>
        <n v="180.0"/>
      </sharedItems>
    </cacheField>
    <cacheField name="دفعة ٢" numFmtId="0">
      <sharedItems containsString="0" containsBlank="1" containsNumber="1" containsInteger="1">
        <m/>
        <n v="180.0"/>
        <n v="50.0"/>
      </sharedItems>
    </cacheField>
    <cacheField name="دفعة ٣" numFmtId="0">
      <sharedItems containsString="0" containsBlank="1">
        <m/>
      </sharedItems>
    </cacheField>
    <cacheField name="دفعة ٤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E69" firstHeaderRow="0" firstDataRow="2" firstDataCol="0"/>
  <pivotFields>
    <pivotField name="الاسم" axis="axisRow" compact="0" outline="0" multipleItemSelectionAllowed="1" showAll="0" sortType="ascending">
      <items>
        <item x="66"/>
        <item x="41"/>
        <item x="44"/>
        <item x="43"/>
        <item x="46"/>
        <item x="55"/>
        <item x="14"/>
        <item x="65"/>
        <item x="29"/>
        <item x="26"/>
        <item x="31"/>
        <item x="39"/>
        <item x="35"/>
        <item x="49"/>
        <item x="38"/>
        <item x="3"/>
        <item x="11"/>
        <item x="10"/>
        <item x="4"/>
        <item x="34"/>
        <item x="12"/>
        <item x="30"/>
        <item x="9"/>
        <item x="48"/>
        <item x="25"/>
        <item x="1"/>
        <item x="19"/>
        <item x="50"/>
        <item x="0"/>
        <item x="61"/>
        <item x="45"/>
        <item x="53"/>
        <item x="5"/>
        <item x="32"/>
        <item x="60"/>
        <item x="17"/>
        <item x="27"/>
        <item x="24"/>
        <item x="51"/>
        <item x="23"/>
        <item x="59"/>
        <item x="21"/>
        <item x="7"/>
        <item x="52"/>
        <item x="33"/>
        <item x="37"/>
        <item x="22"/>
        <item x="62"/>
        <item x="20"/>
        <item x="47"/>
        <item x="63"/>
        <item x="8"/>
        <item x="13"/>
        <item x="2"/>
        <item x="18"/>
        <item x="58"/>
        <item x="56"/>
        <item x="28"/>
        <item x="42"/>
        <item x="54"/>
        <item x="16"/>
        <item x="40"/>
        <item x="57"/>
        <item x="36"/>
        <item x="6"/>
        <item x="64"/>
        <item x="15"/>
        <item t="default"/>
      </items>
    </pivotField>
    <pivotField name="الصنف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النوع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name="الكمية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تاريخ التشتيل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عدد الصواني 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t="default"/>
      </items>
    </pivotField>
    <pivotField name="رقم البيت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تاريخ الاستلام 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مصـد البذور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قيمة الخصم" compact="0" outline="0" multipleItemSelectionAllowed="1" showAll="0">
      <items>
        <item x="0"/>
        <item x="1"/>
        <item t="default"/>
      </items>
    </pivotField>
    <pivotField name="المبلغ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name="المتبقي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  <pivotField name="مجموع الدفعات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دفعة ١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دفعة ٢" compact="0" outline="0" multipleItemSelectionAllowed="1" showAll="0">
      <items>
        <item x="0"/>
        <item x="1"/>
        <item x="2"/>
        <item t="default"/>
      </items>
    </pivotField>
    <pivotField name="دفعة ٣" compact="0" outline="0" multipleItemSelectionAllowed="1" showAll="0">
      <items>
        <item x="0"/>
        <item t="default"/>
      </items>
    </pivotField>
    <pivotField name="دفعة ٤" compact="0" outline="0" multipleItemSelectionAllowed="1" showAll="0">
      <items>
        <item x="0"/>
        <item t="default"/>
      </items>
    </pivotField>
  </pivotFields>
  <rowFields>
    <field x="0"/>
  </rowFields>
  <colFields>
    <field x="-2"/>
  </colFields>
  <dataFields>
    <dataField name="SUM of عدد الصواني " fld="5" baseField="0"/>
    <dataField name="المبلغ الكلي" fld="10" baseField="0"/>
    <dataField name=" مجموع الدفعات" fld="12" baseField="0"/>
    <dataField name="المتبقي" fld="1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9.0"/>
    <col customWidth="1" min="2" max="5" width="19.0"/>
    <col customWidth="1" min="6" max="6" width="42.13"/>
    <col customWidth="1" min="7" max="17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1" t="s">
        <v>15</v>
      </c>
      <c r="Q1" s="1" t="s">
        <v>16</v>
      </c>
    </row>
    <row r="2">
      <c r="A2" s="5" t="s">
        <v>17</v>
      </c>
      <c r="B2" s="5" t="s">
        <v>18</v>
      </c>
      <c r="C2" s="5" t="s">
        <v>19</v>
      </c>
      <c r="D2" s="5" t="s">
        <v>20</v>
      </c>
      <c r="E2" s="6"/>
      <c r="F2" s="5">
        <v>275.0</v>
      </c>
      <c r="G2" s="5">
        <v>3.0</v>
      </c>
      <c r="H2" s="7"/>
      <c r="I2" s="8"/>
      <c r="J2" s="5">
        <v>0.0</v>
      </c>
      <c r="K2" s="5">
        <v>550.0</v>
      </c>
      <c r="L2" s="5">
        <f t="shared" ref="L2:L4" si="1">K2-M2-J2</f>
        <v>550</v>
      </c>
      <c r="M2" s="5">
        <f t="shared" ref="M2:M4" si="2">sum(N2:Q2)</f>
        <v>0</v>
      </c>
      <c r="N2" s="5"/>
      <c r="O2" s="5"/>
      <c r="P2" s="5"/>
      <c r="Q2" s="5"/>
    </row>
    <row r="3">
      <c r="A3" s="5" t="s">
        <v>21</v>
      </c>
      <c r="B3" s="5" t="s">
        <v>18</v>
      </c>
      <c r="C3" s="8"/>
      <c r="D3" s="5" t="s">
        <v>22</v>
      </c>
      <c r="E3" s="6"/>
      <c r="F3" s="5">
        <v>73.0</v>
      </c>
      <c r="G3" s="5">
        <v>3.0</v>
      </c>
      <c r="H3" s="7"/>
      <c r="I3" s="8"/>
      <c r="J3" s="5">
        <v>0.0</v>
      </c>
      <c r="K3" s="5">
        <v>143.0</v>
      </c>
      <c r="L3" s="5">
        <f t="shared" si="1"/>
        <v>143</v>
      </c>
      <c r="M3" s="5">
        <f t="shared" si="2"/>
        <v>0</v>
      </c>
      <c r="N3" s="5"/>
      <c r="O3" s="5"/>
      <c r="P3" s="5"/>
      <c r="Q3" s="5"/>
    </row>
    <row r="4">
      <c r="A4" s="5" t="s">
        <v>23</v>
      </c>
      <c r="B4" s="5" t="s">
        <v>18</v>
      </c>
      <c r="C4" s="8"/>
      <c r="D4" s="8"/>
      <c r="E4" s="6"/>
      <c r="F4" s="5">
        <v>100.0</v>
      </c>
      <c r="G4" s="5">
        <v>3.0</v>
      </c>
      <c r="H4" s="7"/>
      <c r="I4" s="8"/>
      <c r="J4" s="5">
        <v>0.0</v>
      </c>
      <c r="K4" s="5">
        <v>200.0</v>
      </c>
      <c r="L4" s="5">
        <f t="shared" si="1"/>
        <v>200</v>
      </c>
      <c r="M4" s="5">
        <f t="shared" si="2"/>
        <v>0</v>
      </c>
      <c r="N4" s="5"/>
      <c r="O4" s="5"/>
      <c r="P4" s="5"/>
      <c r="Q4" s="5"/>
    </row>
    <row r="5">
      <c r="A5" s="5" t="s">
        <v>24</v>
      </c>
      <c r="B5" s="5" t="s">
        <v>25</v>
      </c>
      <c r="C5" s="5" t="s">
        <v>26</v>
      </c>
      <c r="D5" s="8"/>
      <c r="E5" s="6">
        <v>44991.0</v>
      </c>
      <c r="F5" s="5">
        <v>100.0</v>
      </c>
      <c r="G5" s="5">
        <v>1.0</v>
      </c>
      <c r="H5" s="7"/>
      <c r="I5" s="8"/>
      <c r="J5" s="5">
        <v>0.0</v>
      </c>
      <c r="K5" s="5">
        <v>190.0</v>
      </c>
      <c r="L5" s="5">
        <v>90.0</v>
      </c>
      <c r="M5" s="5">
        <v>100.0</v>
      </c>
      <c r="N5" s="5">
        <v>100.0</v>
      </c>
      <c r="O5" s="5"/>
      <c r="P5" s="5"/>
      <c r="Q5" s="5"/>
    </row>
    <row r="6">
      <c r="A6" s="5" t="s">
        <v>27</v>
      </c>
      <c r="B6" s="5" t="s">
        <v>25</v>
      </c>
      <c r="C6" s="5" t="s">
        <v>28</v>
      </c>
      <c r="D6" s="5" t="s">
        <v>29</v>
      </c>
      <c r="E6" s="6">
        <v>45022.0</v>
      </c>
      <c r="F6" s="5">
        <v>125.0</v>
      </c>
      <c r="G6" s="5">
        <v>1.0</v>
      </c>
      <c r="H6" s="7"/>
      <c r="I6" s="5"/>
      <c r="J6" s="5">
        <v>0.0</v>
      </c>
      <c r="K6" s="5">
        <v>250.0</v>
      </c>
      <c r="L6" s="5">
        <f t="shared" ref="L6:L27" si="3">K6-M6-J6</f>
        <v>250</v>
      </c>
      <c r="M6" s="5">
        <f t="shared" ref="M6:M118" si="4">sum(N6:Q6)</f>
        <v>0</v>
      </c>
      <c r="N6" s="5"/>
      <c r="O6" s="5"/>
      <c r="P6" s="5"/>
      <c r="Q6" s="5"/>
    </row>
    <row r="7">
      <c r="A7" s="5" t="s">
        <v>30</v>
      </c>
      <c r="B7" s="5" t="s">
        <v>25</v>
      </c>
      <c r="C7" s="5" t="s">
        <v>31</v>
      </c>
      <c r="D7" s="8"/>
      <c r="E7" s="6"/>
      <c r="F7" s="5">
        <v>9.0</v>
      </c>
      <c r="G7" s="5">
        <v>1.0</v>
      </c>
      <c r="H7" s="7"/>
      <c r="I7" s="8"/>
      <c r="J7" s="5">
        <v>0.0</v>
      </c>
      <c r="K7" s="5">
        <v>23.5</v>
      </c>
      <c r="L7" s="5">
        <f t="shared" si="3"/>
        <v>23.5</v>
      </c>
      <c r="M7" s="5">
        <f t="shared" si="4"/>
        <v>0</v>
      </c>
      <c r="N7" s="5"/>
      <c r="O7" s="5"/>
      <c r="P7" s="5"/>
      <c r="Q7" s="5"/>
    </row>
    <row r="8">
      <c r="A8" s="5" t="s">
        <v>17</v>
      </c>
      <c r="B8" s="5" t="s">
        <v>32</v>
      </c>
      <c r="C8" s="5" t="s">
        <v>33</v>
      </c>
      <c r="D8" s="5" t="s">
        <v>34</v>
      </c>
      <c r="E8" s="6">
        <v>45083.0</v>
      </c>
      <c r="F8" s="5">
        <v>142.0</v>
      </c>
      <c r="G8" s="5">
        <v>1.0</v>
      </c>
      <c r="H8" s="7"/>
      <c r="I8" s="8"/>
      <c r="J8" s="5">
        <v>0.0</v>
      </c>
      <c r="K8" s="5">
        <v>284.0</v>
      </c>
      <c r="L8" s="5">
        <f t="shared" si="3"/>
        <v>284</v>
      </c>
      <c r="M8" s="5">
        <f t="shared" si="4"/>
        <v>0</v>
      </c>
      <c r="N8" s="5"/>
      <c r="O8" s="5"/>
      <c r="P8" s="5"/>
      <c r="Q8" s="5"/>
    </row>
    <row r="9">
      <c r="A9" s="5" t="s">
        <v>17</v>
      </c>
      <c r="B9" s="5" t="s">
        <v>32</v>
      </c>
      <c r="C9" s="5" t="s">
        <v>35</v>
      </c>
      <c r="D9" s="5" t="s">
        <v>34</v>
      </c>
      <c r="E9" s="6">
        <v>45084.0</v>
      </c>
      <c r="F9" s="5">
        <v>149.0</v>
      </c>
      <c r="G9" s="5">
        <v>1.0</v>
      </c>
      <c r="H9" s="7"/>
      <c r="I9" s="5"/>
      <c r="J9" s="5">
        <v>0.0</v>
      </c>
      <c r="K9" s="5">
        <v>298.0</v>
      </c>
      <c r="L9" s="5">
        <f t="shared" si="3"/>
        <v>298</v>
      </c>
      <c r="M9" s="5">
        <f t="shared" si="4"/>
        <v>0</v>
      </c>
      <c r="N9" s="5"/>
      <c r="O9" s="5"/>
      <c r="P9" s="5"/>
      <c r="Q9" s="5"/>
    </row>
    <row r="10">
      <c r="A10" s="5" t="s">
        <v>36</v>
      </c>
      <c r="B10" s="5" t="s">
        <v>37</v>
      </c>
      <c r="C10" s="8"/>
      <c r="D10" s="5" t="s">
        <v>38</v>
      </c>
      <c r="E10" s="6"/>
      <c r="F10" s="5">
        <v>35.0</v>
      </c>
      <c r="G10" s="5">
        <v>3.0</v>
      </c>
      <c r="H10" s="7"/>
      <c r="I10" s="8"/>
      <c r="J10" s="5">
        <v>0.0</v>
      </c>
      <c r="K10" s="5">
        <v>70.0</v>
      </c>
      <c r="L10" s="5">
        <f t="shared" si="3"/>
        <v>70</v>
      </c>
      <c r="M10" s="5">
        <f t="shared" si="4"/>
        <v>0</v>
      </c>
      <c r="N10" s="5"/>
      <c r="O10" s="5"/>
      <c r="P10" s="5"/>
      <c r="Q10" s="5"/>
    </row>
    <row r="11">
      <c r="A11" s="5" t="s">
        <v>36</v>
      </c>
      <c r="B11" s="5" t="s">
        <v>37</v>
      </c>
      <c r="C11" s="5" t="s">
        <v>19</v>
      </c>
      <c r="D11" s="5" t="s">
        <v>39</v>
      </c>
      <c r="E11" s="6"/>
      <c r="F11" s="5">
        <v>170.0</v>
      </c>
      <c r="G11" s="5">
        <v>3.0</v>
      </c>
      <c r="H11" s="7"/>
      <c r="I11" s="8"/>
      <c r="J11" s="5">
        <v>0.0</v>
      </c>
      <c r="K11" s="5">
        <v>340.0</v>
      </c>
      <c r="L11" s="5">
        <f t="shared" si="3"/>
        <v>340</v>
      </c>
      <c r="M11" s="5">
        <f t="shared" si="4"/>
        <v>0</v>
      </c>
      <c r="N11" s="5"/>
      <c r="O11" s="5"/>
      <c r="P11" s="5"/>
      <c r="Q11" s="5"/>
    </row>
    <row r="12">
      <c r="A12" s="5" t="s">
        <v>36</v>
      </c>
      <c r="B12" s="5" t="s">
        <v>37</v>
      </c>
      <c r="C12" s="5" t="s">
        <v>26</v>
      </c>
      <c r="D12" s="8"/>
      <c r="E12" s="6" t="s">
        <v>40</v>
      </c>
      <c r="F12" s="5">
        <v>301.0</v>
      </c>
      <c r="G12" s="5">
        <v>3.0</v>
      </c>
      <c r="H12" s="7"/>
      <c r="I12" s="8"/>
      <c r="J12" s="5">
        <v>0.0</v>
      </c>
      <c r="K12" s="5">
        <v>602.0</v>
      </c>
      <c r="L12" s="5">
        <f t="shared" si="3"/>
        <v>602</v>
      </c>
      <c r="M12" s="5">
        <f t="shared" si="4"/>
        <v>0</v>
      </c>
      <c r="N12" s="5"/>
      <c r="O12" s="5"/>
      <c r="P12" s="5"/>
      <c r="Q12" s="5"/>
    </row>
    <row r="13">
      <c r="A13" s="5" t="s">
        <v>36</v>
      </c>
      <c r="B13" s="5" t="s">
        <v>37</v>
      </c>
      <c r="C13" s="5" t="s">
        <v>26</v>
      </c>
      <c r="D13" s="8"/>
      <c r="E13" s="6" t="s">
        <v>41</v>
      </c>
      <c r="F13" s="5">
        <v>330.0</v>
      </c>
      <c r="G13" s="5">
        <v>3.0</v>
      </c>
      <c r="H13" s="7"/>
      <c r="I13" s="8"/>
      <c r="J13" s="5">
        <v>0.0</v>
      </c>
      <c r="K13" s="5">
        <v>660.0</v>
      </c>
      <c r="L13" s="5">
        <f t="shared" si="3"/>
        <v>660</v>
      </c>
      <c r="M13" s="5">
        <f t="shared" si="4"/>
        <v>0</v>
      </c>
      <c r="N13" s="5"/>
      <c r="O13" s="5"/>
      <c r="P13" s="5"/>
      <c r="Q13" s="5"/>
    </row>
    <row r="14">
      <c r="A14" s="5" t="s">
        <v>36</v>
      </c>
      <c r="B14" s="5" t="s">
        <v>37</v>
      </c>
      <c r="C14" s="5" t="s">
        <v>26</v>
      </c>
      <c r="D14" s="8"/>
      <c r="E14" s="6" t="s">
        <v>42</v>
      </c>
      <c r="F14" s="5">
        <v>870.0</v>
      </c>
      <c r="G14" s="5">
        <v>3.0</v>
      </c>
      <c r="H14" s="7"/>
      <c r="I14" s="8"/>
      <c r="J14" s="5">
        <v>0.0</v>
      </c>
      <c r="K14" s="5">
        <v>1740.0</v>
      </c>
      <c r="L14" s="5">
        <f t="shared" si="3"/>
        <v>1740</v>
      </c>
      <c r="M14" s="5">
        <f t="shared" si="4"/>
        <v>0</v>
      </c>
      <c r="N14" s="5"/>
      <c r="O14" s="5"/>
      <c r="P14" s="5"/>
      <c r="Q14" s="5"/>
    </row>
    <row r="15">
      <c r="A15" s="5" t="s">
        <v>43</v>
      </c>
      <c r="B15" s="5" t="s">
        <v>32</v>
      </c>
      <c r="C15" s="5" t="s">
        <v>35</v>
      </c>
      <c r="D15" s="5" t="s">
        <v>44</v>
      </c>
      <c r="E15" s="6" t="s">
        <v>45</v>
      </c>
      <c r="F15" s="5">
        <v>112.0</v>
      </c>
      <c r="G15" s="5">
        <v>1.0</v>
      </c>
      <c r="H15" s="7"/>
      <c r="I15" s="8"/>
      <c r="J15" s="5">
        <v>0.0</v>
      </c>
      <c r="K15" s="5">
        <v>224.0</v>
      </c>
      <c r="L15" s="5">
        <f t="shared" si="3"/>
        <v>224</v>
      </c>
      <c r="M15" s="5">
        <f t="shared" si="4"/>
        <v>0</v>
      </c>
      <c r="N15" s="5"/>
      <c r="O15" s="5"/>
      <c r="P15" s="5"/>
      <c r="Q15" s="5"/>
    </row>
    <row r="16">
      <c r="A16" s="5" t="s">
        <v>46</v>
      </c>
      <c r="B16" s="5" t="s">
        <v>32</v>
      </c>
      <c r="C16" s="5" t="s">
        <v>35</v>
      </c>
      <c r="D16" s="5" t="s">
        <v>47</v>
      </c>
      <c r="E16" s="6" t="s">
        <v>48</v>
      </c>
      <c r="F16" s="5">
        <v>222.0</v>
      </c>
      <c r="G16" s="5">
        <v>1.0</v>
      </c>
      <c r="H16" s="7"/>
      <c r="I16" s="8"/>
      <c r="J16" s="5">
        <v>0.0</v>
      </c>
      <c r="K16" s="5">
        <v>444.0</v>
      </c>
      <c r="L16" s="5">
        <f t="shared" si="3"/>
        <v>64</v>
      </c>
      <c r="M16" s="5">
        <f t="shared" si="4"/>
        <v>380</v>
      </c>
      <c r="N16" s="5">
        <v>200.0</v>
      </c>
      <c r="O16" s="5">
        <v>180.0</v>
      </c>
      <c r="P16" s="5"/>
      <c r="Q16" s="5"/>
    </row>
    <row r="17">
      <c r="A17" s="5" t="s">
        <v>49</v>
      </c>
      <c r="B17" s="5" t="s">
        <v>32</v>
      </c>
      <c r="C17" s="5" t="s">
        <v>35</v>
      </c>
      <c r="D17" s="5" t="s">
        <v>50</v>
      </c>
      <c r="E17" s="6" t="s">
        <v>48</v>
      </c>
      <c r="F17" s="5">
        <v>123.0</v>
      </c>
      <c r="G17" s="5">
        <v>1.0</v>
      </c>
      <c r="H17" s="7"/>
      <c r="I17" s="5" t="s">
        <v>51</v>
      </c>
      <c r="J17" s="5">
        <v>0.0</v>
      </c>
      <c r="K17" s="5">
        <v>246.0</v>
      </c>
      <c r="L17" s="5">
        <f t="shared" si="3"/>
        <v>246</v>
      </c>
      <c r="M17" s="5">
        <f t="shared" si="4"/>
        <v>0</v>
      </c>
      <c r="N17" s="5"/>
      <c r="O17" s="5"/>
      <c r="P17" s="5"/>
      <c r="Q17" s="5"/>
    </row>
    <row r="18">
      <c r="A18" s="5" t="s">
        <v>23</v>
      </c>
      <c r="B18" s="5" t="s">
        <v>32</v>
      </c>
      <c r="C18" s="5" t="s">
        <v>35</v>
      </c>
      <c r="D18" s="5" t="s">
        <v>52</v>
      </c>
      <c r="E18" s="6" t="s">
        <v>53</v>
      </c>
      <c r="F18" s="5">
        <v>87.0</v>
      </c>
      <c r="G18" s="5">
        <v>1.0</v>
      </c>
      <c r="H18" s="7"/>
      <c r="I18" s="5"/>
      <c r="J18" s="5">
        <v>0.0</v>
      </c>
      <c r="K18" s="5">
        <v>174.0</v>
      </c>
      <c r="L18" s="5">
        <f t="shared" si="3"/>
        <v>174</v>
      </c>
      <c r="M18" s="5">
        <f t="shared" si="4"/>
        <v>0</v>
      </c>
      <c r="N18" s="5"/>
      <c r="O18" s="5"/>
      <c r="P18" s="5"/>
      <c r="Q18" s="5"/>
    </row>
    <row r="19">
      <c r="A19" s="5" t="s">
        <v>54</v>
      </c>
      <c r="B19" s="5" t="s">
        <v>32</v>
      </c>
      <c r="C19" s="5" t="s">
        <v>35</v>
      </c>
      <c r="D19" s="5" t="s">
        <v>55</v>
      </c>
      <c r="E19" s="6" t="s">
        <v>53</v>
      </c>
      <c r="F19" s="5">
        <v>8.0</v>
      </c>
      <c r="G19" s="5">
        <v>1.0</v>
      </c>
      <c r="H19" s="7"/>
      <c r="I19" s="5" t="s">
        <v>56</v>
      </c>
      <c r="J19" s="5">
        <v>0.0</v>
      </c>
      <c r="K19" s="5">
        <v>33.0</v>
      </c>
      <c r="L19" s="5">
        <f t="shared" si="3"/>
        <v>33</v>
      </c>
      <c r="M19" s="5">
        <f t="shared" si="4"/>
        <v>0</v>
      </c>
      <c r="N19" s="5"/>
      <c r="O19" s="5"/>
      <c r="P19" s="5"/>
      <c r="Q19" s="5"/>
    </row>
    <row r="20">
      <c r="A20" s="5" t="s">
        <v>57</v>
      </c>
      <c r="B20" s="5" t="s">
        <v>32</v>
      </c>
      <c r="C20" s="5" t="s">
        <v>33</v>
      </c>
      <c r="D20" s="8"/>
      <c r="E20" s="6" t="s">
        <v>53</v>
      </c>
      <c r="F20" s="5">
        <v>300.0</v>
      </c>
      <c r="G20" s="5">
        <v>7.0</v>
      </c>
      <c r="H20" s="7"/>
      <c r="I20" s="8"/>
      <c r="J20" s="5">
        <v>0.0</v>
      </c>
      <c r="K20" s="5">
        <v>525.0</v>
      </c>
      <c r="L20" s="5">
        <f t="shared" si="3"/>
        <v>525</v>
      </c>
      <c r="M20" s="5">
        <f t="shared" si="4"/>
        <v>0</v>
      </c>
      <c r="N20" s="5"/>
      <c r="O20" s="5"/>
      <c r="P20" s="5"/>
      <c r="Q20" s="5"/>
    </row>
    <row r="21">
      <c r="A21" s="5" t="s">
        <v>54</v>
      </c>
      <c r="B21" s="5" t="s">
        <v>32</v>
      </c>
      <c r="C21" s="5" t="s">
        <v>58</v>
      </c>
      <c r="D21" s="5" t="s">
        <v>59</v>
      </c>
      <c r="E21" s="6" t="s">
        <v>60</v>
      </c>
      <c r="F21" s="5">
        <v>216.0</v>
      </c>
      <c r="G21" s="5">
        <v>6.0</v>
      </c>
      <c r="H21" s="7"/>
      <c r="I21" s="5" t="s">
        <v>61</v>
      </c>
      <c r="J21" s="5">
        <v>0.0</v>
      </c>
      <c r="K21" s="5">
        <v>1224.0</v>
      </c>
      <c r="L21" s="5">
        <f t="shared" si="3"/>
        <v>1224</v>
      </c>
      <c r="M21" s="5">
        <f t="shared" si="4"/>
        <v>0</v>
      </c>
      <c r="N21" s="5"/>
      <c r="O21" s="5"/>
      <c r="P21" s="5"/>
      <c r="Q21" s="5"/>
    </row>
    <row r="22">
      <c r="A22" s="5" t="s">
        <v>23</v>
      </c>
      <c r="B22" s="5" t="s">
        <v>32</v>
      </c>
      <c r="C22" s="5" t="s">
        <v>58</v>
      </c>
      <c r="D22" s="5" t="s">
        <v>62</v>
      </c>
      <c r="E22" s="6" t="s">
        <v>60</v>
      </c>
      <c r="F22" s="5">
        <v>79.0</v>
      </c>
      <c r="G22" s="5">
        <v>6.0</v>
      </c>
      <c r="H22" s="7"/>
      <c r="I22" s="5"/>
      <c r="J22" s="5">
        <v>0.0</v>
      </c>
      <c r="K22" s="5">
        <v>158.0</v>
      </c>
      <c r="L22" s="5">
        <f t="shared" si="3"/>
        <v>158</v>
      </c>
      <c r="M22" s="5">
        <f t="shared" si="4"/>
        <v>0</v>
      </c>
      <c r="N22" s="5"/>
      <c r="O22" s="5"/>
      <c r="P22" s="5"/>
      <c r="Q22" s="5"/>
    </row>
    <row r="23">
      <c r="A23" s="5" t="s">
        <v>63</v>
      </c>
      <c r="B23" s="5" t="s">
        <v>25</v>
      </c>
      <c r="C23" s="5" t="s">
        <v>64</v>
      </c>
      <c r="D23" s="5" t="s">
        <v>65</v>
      </c>
      <c r="E23" s="6" t="s">
        <v>66</v>
      </c>
      <c r="F23" s="5">
        <v>74.0</v>
      </c>
      <c r="G23" s="5">
        <v>6.0</v>
      </c>
      <c r="H23" s="7"/>
      <c r="I23" s="5">
        <v>140.0</v>
      </c>
      <c r="J23" s="5">
        <v>0.0</v>
      </c>
      <c r="K23" s="5">
        <v>0.0</v>
      </c>
      <c r="L23" s="5">
        <f t="shared" si="3"/>
        <v>0</v>
      </c>
      <c r="M23" s="5">
        <f t="shared" si="4"/>
        <v>0</v>
      </c>
      <c r="N23" s="5"/>
      <c r="O23" s="5"/>
      <c r="P23" s="5"/>
      <c r="Q23" s="5"/>
    </row>
    <row r="24">
      <c r="A24" s="5" t="s">
        <v>63</v>
      </c>
      <c r="B24" s="5" t="s">
        <v>32</v>
      </c>
      <c r="C24" s="5">
        <v>501.0</v>
      </c>
      <c r="D24" s="5" t="s">
        <v>67</v>
      </c>
      <c r="E24" s="6" t="s">
        <v>66</v>
      </c>
      <c r="F24" s="5">
        <v>95.0</v>
      </c>
      <c r="G24" s="5">
        <v>6.0</v>
      </c>
      <c r="H24" s="7"/>
      <c r="I24" s="8"/>
      <c r="J24" s="5">
        <v>0.0</v>
      </c>
      <c r="K24" s="5">
        <v>190.0</v>
      </c>
      <c r="L24" s="5">
        <f t="shared" si="3"/>
        <v>190</v>
      </c>
      <c r="M24" s="5">
        <f t="shared" si="4"/>
        <v>0</v>
      </c>
      <c r="N24" s="5"/>
      <c r="O24" s="5"/>
      <c r="P24" s="5"/>
      <c r="Q24" s="5"/>
    </row>
    <row r="25">
      <c r="A25" s="5" t="s">
        <v>68</v>
      </c>
      <c r="B25" s="5" t="s">
        <v>69</v>
      </c>
      <c r="C25" s="5" t="s">
        <v>70</v>
      </c>
      <c r="D25" s="5" t="s">
        <v>71</v>
      </c>
      <c r="E25" s="6" t="s">
        <v>72</v>
      </c>
      <c r="F25" s="5">
        <v>49.0</v>
      </c>
      <c r="G25" s="5">
        <v>3.0</v>
      </c>
      <c r="H25" s="9">
        <v>45132.0</v>
      </c>
      <c r="I25" s="5" t="s">
        <v>73</v>
      </c>
      <c r="J25" s="5">
        <v>0.0</v>
      </c>
      <c r="K25" s="5">
        <v>588.0</v>
      </c>
      <c r="L25" s="5">
        <f t="shared" si="3"/>
        <v>588</v>
      </c>
      <c r="M25" s="5">
        <f t="shared" si="4"/>
        <v>0</v>
      </c>
      <c r="N25" s="5"/>
      <c r="O25" s="5"/>
      <c r="P25" s="5"/>
      <c r="Q25" s="5"/>
    </row>
    <row r="26">
      <c r="A26" s="5" t="s">
        <v>57</v>
      </c>
      <c r="B26" s="5" t="s">
        <v>69</v>
      </c>
      <c r="C26" s="5" t="s">
        <v>74</v>
      </c>
      <c r="D26" s="5" t="s">
        <v>29</v>
      </c>
      <c r="E26" s="6" t="s">
        <v>72</v>
      </c>
      <c r="F26" s="5">
        <v>118.0</v>
      </c>
      <c r="G26" s="5">
        <v>3.0</v>
      </c>
      <c r="H26" s="9">
        <v>45132.0</v>
      </c>
      <c r="I26" s="5"/>
      <c r="J26" s="5">
        <v>0.0</v>
      </c>
      <c r="K26" s="5">
        <v>236.0</v>
      </c>
      <c r="L26" s="5">
        <f t="shared" si="3"/>
        <v>236</v>
      </c>
      <c r="M26" s="5">
        <f t="shared" si="4"/>
        <v>0</v>
      </c>
      <c r="N26" s="5"/>
      <c r="O26" s="5"/>
      <c r="P26" s="5"/>
      <c r="Q26" s="5"/>
    </row>
    <row r="27">
      <c r="A27" s="5" t="s">
        <v>75</v>
      </c>
      <c r="B27" s="5" t="s">
        <v>32</v>
      </c>
      <c r="C27" s="5" t="s">
        <v>35</v>
      </c>
      <c r="D27" s="5" t="s">
        <v>34</v>
      </c>
      <c r="E27" s="6" t="s">
        <v>72</v>
      </c>
      <c r="F27" s="5">
        <v>156.0</v>
      </c>
      <c r="G27" s="5">
        <v>7.0</v>
      </c>
      <c r="H27" s="10">
        <v>45148.0</v>
      </c>
      <c r="I27" s="5" t="s">
        <v>76</v>
      </c>
      <c r="J27" s="5">
        <v>0.0</v>
      </c>
      <c r="K27" s="5">
        <v>312.0</v>
      </c>
      <c r="L27" s="5">
        <f t="shared" si="3"/>
        <v>312</v>
      </c>
      <c r="M27" s="5">
        <f t="shared" si="4"/>
        <v>0</v>
      </c>
      <c r="N27" s="5"/>
      <c r="O27" s="5"/>
      <c r="P27" s="5"/>
      <c r="Q27" s="5"/>
    </row>
    <row r="28">
      <c r="A28" s="5" t="s">
        <v>27</v>
      </c>
      <c r="B28" s="5" t="s">
        <v>32</v>
      </c>
      <c r="C28" s="5" t="s">
        <v>58</v>
      </c>
      <c r="D28" s="5" t="s">
        <v>77</v>
      </c>
      <c r="E28" s="6">
        <v>44964.0</v>
      </c>
      <c r="F28" s="5">
        <v>1052.0</v>
      </c>
      <c r="G28" s="5">
        <v>6.0</v>
      </c>
      <c r="H28" s="10">
        <v>45148.0</v>
      </c>
      <c r="I28" s="5"/>
      <c r="J28" s="5">
        <v>0.0</v>
      </c>
      <c r="K28" s="5">
        <v>2100.0</v>
      </c>
      <c r="L28" s="5">
        <v>2104.0</v>
      </c>
      <c r="M28" s="5">
        <f t="shared" si="4"/>
        <v>0</v>
      </c>
      <c r="N28" s="5"/>
      <c r="O28" s="5"/>
      <c r="P28" s="5"/>
      <c r="Q28" s="5"/>
    </row>
    <row r="29">
      <c r="A29" s="11" t="s">
        <v>78</v>
      </c>
      <c r="B29" s="5" t="s">
        <v>79</v>
      </c>
      <c r="C29" s="5" t="s">
        <v>80</v>
      </c>
      <c r="D29" s="8"/>
      <c r="E29" s="6">
        <v>45237.0</v>
      </c>
      <c r="F29" s="5">
        <v>70.0</v>
      </c>
      <c r="G29" s="5">
        <v>3.0</v>
      </c>
      <c r="H29" s="12"/>
      <c r="I29" s="5"/>
      <c r="J29" s="5">
        <v>0.0</v>
      </c>
      <c r="K29" s="5">
        <v>140.0</v>
      </c>
      <c r="L29" s="5">
        <f t="shared" ref="L29:L284" si="5">K29-M29-J29</f>
        <v>40</v>
      </c>
      <c r="M29" s="5">
        <f t="shared" si="4"/>
        <v>100</v>
      </c>
      <c r="N29" s="5">
        <v>50.0</v>
      </c>
      <c r="O29" s="5">
        <v>50.0</v>
      </c>
      <c r="P29" s="5"/>
      <c r="Q29" s="5"/>
    </row>
    <row r="30">
      <c r="A30" s="5" t="s">
        <v>81</v>
      </c>
      <c r="B30" s="5" t="s">
        <v>32</v>
      </c>
      <c r="C30" s="5" t="s">
        <v>82</v>
      </c>
      <c r="D30" s="5" t="s">
        <v>83</v>
      </c>
      <c r="E30" s="6" t="s">
        <v>84</v>
      </c>
      <c r="F30" s="5">
        <v>30.0</v>
      </c>
      <c r="G30" s="5">
        <v>7.0</v>
      </c>
      <c r="H30" s="10">
        <v>45170.0</v>
      </c>
      <c r="I30" s="8"/>
      <c r="J30" s="5">
        <v>0.0</v>
      </c>
      <c r="K30" s="5">
        <v>60.0</v>
      </c>
      <c r="L30" s="5">
        <f t="shared" si="5"/>
        <v>60</v>
      </c>
      <c r="M30" s="5">
        <f t="shared" si="4"/>
        <v>0</v>
      </c>
      <c r="N30" s="5"/>
      <c r="O30" s="5"/>
      <c r="P30" s="5"/>
      <c r="Q30" s="5"/>
    </row>
    <row r="31">
      <c r="A31" s="5" t="s">
        <v>17</v>
      </c>
      <c r="B31" s="5" t="s">
        <v>32</v>
      </c>
      <c r="C31" s="5" t="s">
        <v>58</v>
      </c>
      <c r="D31" s="5" t="s">
        <v>85</v>
      </c>
      <c r="E31" s="6" t="s">
        <v>84</v>
      </c>
      <c r="F31" s="5">
        <v>196.0</v>
      </c>
      <c r="G31" s="5">
        <v>6.0</v>
      </c>
      <c r="H31" s="10">
        <v>45170.0</v>
      </c>
      <c r="I31" s="5"/>
      <c r="J31" s="5">
        <v>0.0</v>
      </c>
      <c r="K31" s="5">
        <v>392.0</v>
      </c>
      <c r="L31" s="5">
        <f t="shared" si="5"/>
        <v>392</v>
      </c>
      <c r="M31" s="5">
        <f t="shared" si="4"/>
        <v>0</v>
      </c>
      <c r="N31" s="5"/>
      <c r="O31" s="5"/>
      <c r="P31" s="5"/>
      <c r="Q31" s="5"/>
    </row>
    <row r="32">
      <c r="A32" s="5" t="s">
        <v>86</v>
      </c>
      <c r="B32" s="5" t="s">
        <v>32</v>
      </c>
      <c r="C32" s="5" t="s">
        <v>58</v>
      </c>
      <c r="D32" s="5" t="s">
        <v>87</v>
      </c>
      <c r="E32" s="6" t="s">
        <v>88</v>
      </c>
      <c r="F32" s="5">
        <v>590.0</v>
      </c>
      <c r="G32" s="5">
        <v>5.0</v>
      </c>
      <c r="H32" s="10">
        <v>45174.0</v>
      </c>
      <c r="I32" s="8"/>
      <c r="J32" s="5">
        <v>0.0</v>
      </c>
      <c r="K32" s="5">
        <v>1180.0</v>
      </c>
      <c r="L32" s="5">
        <f t="shared" si="5"/>
        <v>0</v>
      </c>
      <c r="M32" s="5">
        <f t="shared" si="4"/>
        <v>1180</v>
      </c>
      <c r="N32" s="5">
        <v>1180.0</v>
      </c>
      <c r="O32" s="5"/>
      <c r="P32" s="5"/>
      <c r="Q32" s="5"/>
    </row>
    <row r="33">
      <c r="A33" s="5" t="s">
        <v>86</v>
      </c>
      <c r="B33" s="5" t="s">
        <v>32</v>
      </c>
      <c r="C33" s="5" t="s">
        <v>31</v>
      </c>
      <c r="D33" s="5" t="s">
        <v>89</v>
      </c>
      <c r="E33" s="6" t="s">
        <v>90</v>
      </c>
      <c r="F33" s="5">
        <v>24.0</v>
      </c>
      <c r="G33" s="5">
        <v>5.0</v>
      </c>
      <c r="H33" s="10">
        <v>45174.0</v>
      </c>
      <c r="I33" s="8"/>
      <c r="J33" s="5">
        <v>0.0</v>
      </c>
      <c r="K33" s="5">
        <v>48.0</v>
      </c>
      <c r="L33" s="5">
        <f t="shared" si="5"/>
        <v>0</v>
      </c>
      <c r="M33" s="5">
        <f t="shared" si="4"/>
        <v>48</v>
      </c>
      <c r="N33" s="5">
        <v>48.0</v>
      </c>
      <c r="O33" s="5"/>
      <c r="P33" s="5"/>
      <c r="Q33" s="5"/>
    </row>
    <row r="34">
      <c r="A34" s="5" t="s">
        <v>86</v>
      </c>
      <c r="B34" s="5" t="s">
        <v>32</v>
      </c>
      <c r="C34" s="5" t="s">
        <v>58</v>
      </c>
      <c r="D34" s="5" t="s">
        <v>89</v>
      </c>
      <c r="E34" s="6" t="s">
        <v>91</v>
      </c>
      <c r="F34" s="5">
        <v>22.0</v>
      </c>
      <c r="G34" s="5">
        <v>5.0</v>
      </c>
      <c r="H34" s="10">
        <v>45174.0</v>
      </c>
      <c r="I34" s="8"/>
      <c r="J34" s="5">
        <v>22.0</v>
      </c>
      <c r="K34" s="5">
        <v>44.0</v>
      </c>
      <c r="L34" s="5">
        <f t="shared" si="5"/>
        <v>0</v>
      </c>
      <c r="M34" s="5">
        <f t="shared" si="4"/>
        <v>22</v>
      </c>
      <c r="N34" s="5">
        <v>22.0</v>
      </c>
      <c r="O34" s="5"/>
      <c r="P34" s="5"/>
      <c r="Q34" s="5"/>
    </row>
    <row r="35">
      <c r="A35" s="5" t="s">
        <v>17</v>
      </c>
      <c r="B35" s="5" t="s">
        <v>32</v>
      </c>
      <c r="C35" s="5" t="s">
        <v>58</v>
      </c>
      <c r="D35" s="5" t="s">
        <v>92</v>
      </c>
      <c r="E35" s="6" t="s">
        <v>91</v>
      </c>
      <c r="F35" s="5">
        <v>99.0</v>
      </c>
      <c r="G35" s="5">
        <v>5.0</v>
      </c>
      <c r="H35" s="10">
        <v>45170.0</v>
      </c>
      <c r="I35" s="5"/>
      <c r="J35" s="5">
        <v>0.0</v>
      </c>
      <c r="K35" s="5">
        <v>196.0</v>
      </c>
      <c r="L35" s="5">
        <f t="shared" si="5"/>
        <v>196</v>
      </c>
      <c r="M35" s="5">
        <f t="shared" si="4"/>
        <v>0</v>
      </c>
      <c r="N35" s="5"/>
      <c r="O35" s="5"/>
      <c r="P35" s="5"/>
      <c r="Q35" s="5"/>
    </row>
    <row r="36">
      <c r="A36" s="5" t="s">
        <v>93</v>
      </c>
      <c r="B36" s="5" t="s">
        <v>32</v>
      </c>
      <c r="C36" s="5" t="s">
        <v>58</v>
      </c>
      <c r="D36" s="5" t="s">
        <v>94</v>
      </c>
      <c r="E36" s="6" t="s">
        <v>91</v>
      </c>
      <c r="F36" s="5">
        <v>81.0</v>
      </c>
      <c r="G36" s="5">
        <v>6.0</v>
      </c>
      <c r="H36" s="10">
        <v>45170.0</v>
      </c>
      <c r="I36" s="5" t="s">
        <v>95</v>
      </c>
      <c r="J36" s="5">
        <v>0.0</v>
      </c>
      <c r="K36" s="5">
        <v>162.0</v>
      </c>
      <c r="L36" s="5">
        <f t="shared" si="5"/>
        <v>0</v>
      </c>
      <c r="M36" s="5">
        <f t="shared" si="4"/>
        <v>162</v>
      </c>
      <c r="N36" s="5">
        <v>162.0</v>
      </c>
      <c r="O36" s="5"/>
      <c r="P36" s="5"/>
      <c r="Q36" s="5"/>
    </row>
    <row r="37">
      <c r="A37" s="5" t="s">
        <v>96</v>
      </c>
      <c r="B37" s="5" t="s">
        <v>32</v>
      </c>
      <c r="C37" s="5" t="s">
        <v>58</v>
      </c>
      <c r="D37" s="5" t="s">
        <v>97</v>
      </c>
      <c r="E37" s="6" t="s">
        <v>91</v>
      </c>
      <c r="F37" s="5">
        <v>170.0</v>
      </c>
      <c r="G37" s="5">
        <v>3.0</v>
      </c>
      <c r="H37" s="10">
        <v>45170.0</v>
      </c>
      <c r="I37" s="8"/>
      <c r="J37" s="5">
        <v>0.0</v>
      </c>
      <c r="K37" s="5">
        <v>340.0</v>
      </c>
      <c r="L37" s="5">
        <f t="shared" si="5"/>
        <v>340</v>
      </c>
      <c r="M37" s="5">
        <f t="shared" si="4"/>
        <v>0</v>
      </c>
      <c r="N37" s="5"/>
      <c r="O37" s="5"/>
      <c r="P37" s="5"/>
      <c r="Q37" s="5"/>
    </row>
    <row r="38">
      <c r="A38" s="5" t="s">
        <v>98</v>
      </c>
      <c r="B38" s="5" t="s">
        <v>32</v>
      </c>
      <c r="C38" s="5">
        <v>5460.0</v>
      </c>
      <c r="D38" s="8"/>
      <c r="E38" s="6" t="s">
        <v>91</v>
      </c>
      <c r="F38" s="5">
        <v>10.0</v>
      </c>
      <c r="G38" s="5">
        <v>3.0</v>
      </c>
      <c r="H38" s="7"/>
      <c r="I38" s="8"/>
      <c r="J38" s="5">
        <v>0.0</v>
      </c>
      <c r="K38" s="5">
        <v>20.0</v>
      </c>
      <c r="L38" s="5">
        <f t="shared" si="5"/>
        <v>20</v>
      </c>
      <c r="M38" s="5">
        <f t="shared" si="4"/>
        <v>0</v>
      </c>
      <c r="N38" s="5"/>
      <c r="O38" s="5"/>
      <c r="P38" s="5"/>
      <c r="Q38" s="5"/>
    </row>
    <row r="39">
      <c r="A39" s="5" t="s">
        <v>98</v>
      </c>
      <c r="B39" s="5" t="s">
        <v>32</v>
      </c>
      <c r="C39" s="5">
        <v>6390.0</v>
      </c>
      <c r="D39" s="8"/>
      <c r="E39" s="6" t="s">
        <v>91</v>
      </c>
      <c r="F39" s="5">
        <v>10.0</v>
      </c>
      <c r="G39" s="5">
        <v>3.0</v>
      </c>
      <c r="H39" s="7"/>
      <c r="I39" s="8"/>
      <c r="J39" s="5">
        <v>0.0</v>
      </c>
      <c r="K39" s="5">
        <v>20.0</v>
      </c>
      <c r="L39" s="5">
        <f t="shared" si="5"/>
        <v>20</v>
      </c>
      <c r="M39" s="5">
        <f t="shared" si="4"/>
        <v>0</v>
      </c>
      <c r="N39" s="5"/>
      <c r="O39" s="5"/>
      <c r="P39" s="5"/>
      <c r="Q39" s="5"/>
    </row>
    <row r="40">
      <c r="A40" s="5" t="s">
        <v>98</v>
      </c>
      <c r="B40" s="5" t="s">
        <v>32</v>
      </c>
      <c r="C40" s="5">
        <v>6500.0</v>
      </c>
      <c r="D40" s="8"/>
      <c r="E40" s="6" t="s">
        <v>91</v>
      </c>
      <c r="F40" s="5">
        <v>6.0</v>
      </c>
      <c r="G40" s="5">
        <v>3.0</v>
      </c>
      <c r="H40" s="7"/>
      <c r="I40" s="8"/>
      <c r="J40" s="5">
        <v>0.0</v>
      </c>
      <c r="K40" s="5">
        <v>12.0</v>
      </c>
      <c r="L40" s="5">
        <f t="shared" si="5"/>
        <v>12</v>
      </c>
      <c r="M40" s="5">
        <f t="shared" si="4"/>
        <v>0</v>
      </c>
      <c r="N40" s="5"/>
      <c r="O40" s="5"/>
      <c r="P40" s="5"/>
      <c r="Q40" s="5"/>
    </row>
    <row r="41">
      <c r="A41" s="5" t="s">
        <v>99</v>
      </c>
      <c r="B41" s="5" t="s">
        <v>32</v>
      </c>
      <c r="C41" s="5" t="s">
        <v>58</v>
      </c>
      <c r="D41" s="5" t="s">
        <v>100</v>
      </c>
      <c r="E41" s="6" t="s">
        <v>101</v>
      </c>
      <c r="F41" s="5">
        <v>495.0</v>
      </c>
      <c r="G41" s="5">
        <v>3.0</v>
      </c>
      <c r="H41" s="7"/>
      <c r="I41" s="5" t="s">
        <v>102</v>
      </c>
      <c r="J41" s="5">
        <v>0.0</v>
      </c>
      <c r="K41" s="5">
        <v>2990.0</v>
      </c>
      <c r="L41" s="5">
        <f t="shared" si="5"/>
        <v>2990</v>
      </c>
      <c r="M41" s="5">
        <f t="shared" si="4"/>
        <v>0</v>
      </c>
      <c r="N41" s="5"/>
      <c r="O41" s="5"/>
      <c r="P41" s="5"/>
      <c r="Q41" s="5"/>
    </row>
    <row r="42">
      <c r="A42" s="5" t="s">
        <v>54</v>
      </c>
      <c r="B42" s="5" t="s">
        <v>32</v>
      </c>
      <c r="C42" s="5" t="s">
        <v>58</v>
      </c>
      <c r="D42" s="5" t="s">
        <v>103</v>
      </c>
      <c r="E42" s="6" t="s">
        <v>101</v>
      </c>
      <c r="F42" s="5">
        <v>63.0</v>
      </c>
      <c r="G42" s="5">
        <v>3.0</v>
      </c>
      <c r="H42" s="7"/>
      <c r="I42" s="5" t="s">
        <v>104</v>
      </c>
      <c r="J42" s="5">
        <v>0.0</v>
      </c>
      <c r="K42" s="5">
        <v>360.0</v>
      </c>
      <c r="L42" s="5">
        <f t="shared" si="5"/>
        <v>360</v>
      </c>
      <c r="M42" s="5">
        <f t="shared" si="4"/>
        <v>0</v>
      </c>
      <c r="N42" s="5"/>
      <c r="O42" s="5"/>
      <c r="P42" s="5"/>
      <c r="Q42" s="5"/>
    </row>
    <row r="43">
      <c r="A43" s="5" t="s">
        <v>105</v>
      </c>
      <c r="B43" s="5" t="s">
        <v>106</v>
      </c>
      <c r="C43" s="5" t="s">
        <v>107</v>
      </c>
      <c r="D43" s="5" t="s">
        <v>108</v>
      </c>
      <c r="E43" s="6" t="s">
        <v>101</v>
      </c>
      <c r="F43" s="5">
        <v>15.0</v>
      </c>
      <c r="G43" s="5">
        <v>4.0</v>
      </c>
      <c r="H43" s="7"/>
      <c r="I43" s="8"/>
      <c r="J43" s="5">
        <v>0.0</v>
      </c>
      <c r="K43" s="5">
        <v>0.0</v>
      </c>
      <c r="L43" s="5">
        <f t="shared" si="5"/>
        <v>0</v>
      </c>
      <c r="M43" s="5">
        <f t="shared" si="4"/>
        <v>0</v>
      </c>
      <c r="N43" s="5"/>
      <c r="O43" s="5"/>
      <c r="P43" s="5"/>
      <c r="Q43" s="5"/>
    </row>
    <row r="44">
      <c r="A44" s="5" t="s">
        <v>105</v>
      </c>
      <c r="B44" s="5" t="s">
        <v>32</v>
      </c>
      <c r="C44" s="5" t="s">
        <v>109</v>
      </c>
      <c r="D44" s="5" t="s">
        <v>108</v>
      </c>
      <c r="E44" s="6" t="s">
        <v>101</v>
      </c>
      <c r="F44" s="5">
        <v>15.0</v>
      </c>
      <c r="G44" s="5">
        <v>4.0</v>
      </c>
      <c r="H44" s="7"/>
      <c r="I44" s="8"/>
      <c r="J44" s="5">
        <v>0.0</v>
      </c>
      <c r="K44" s="5">
        <v>30.0</v>
      </c>
      <c r="L44" s="5">
        <f t="shared" si="5"/>
        <v>30</v>
      </c>
      <c r="M44" s="5">
        <f t="shared" si="4"/>
        <v>0</v>
      </c>
      <c r="N44" s="5"/>
      <c r="O44" s="5"/>
      <c r="P44" s="5"/>
      <c r="Q44" s="5"/>
    </row>
    <row r="45">
      <c r="A45" s="5" t="s">
        <v>43</v>
      </c>
      <c r="B45" s="5" t="s">
        <v>32</v>
      </c>
      <c r="C45" s="5" t="s">
        <v>26</v>
      </c>
      <c r="D45" s="8"/>
      <c r="E45" s="6" t="s">
        <v>101</v>
      </c>
      <c r="F45" s="5">
        <v>280.0</v>
      </c>
      <c r="G45" s="5">
        <v>1.0</v>
      </c>
      <c r="H45" s="7"/>
      <c r="I45" s="8"/>
      <c r="J45" s="5">
        <v>0.0</v>
      </c>
      <c r="K45" s="5">
        <v>560.0</v>
      </c>
      <c r="L45" s="5">
        <f t="shared" si="5"/>
        <v>560</v>
      </c>
      <c r="M45" s="5">
        <f t="shared" si="4"/>
        <v>0</v>
      </c>
      <c r="N45" s="5"/>
      <c r="O45" s="5"/>
      <c r="P45" s="5"/>
      <c r="Q45" s="5"/>
    </row>
    <row r="46">
      <c r="A46" s="5" t="s">
        <v>54</v>
      </c>
      <c r="B46" s="5" t="s">
        <v>32</v>
      </c>
      <c r="C46" s="5">
        <v>501.0</v>
      </c>
      <c r="D46" s="5" t="s">
        <v>110</v>
      </c>
      <c r="E46" s="6" t="s">
        <v>111</v>
      </c>
      <c r="F46" s="5">
        <v>55.0</v>
      </c>
      <c r="G46" s="5">
        <v>1.0</v>
      </c>
      <c r="H46" s="7"/>
      <c r="I46" s="5" t="s">
        <v>112</v>
      </c>
      <c r="J46" s="5">
        <v>0.0</v>
      </c>
      <c r="K46" s="5">
        <v>410.0</v>
      </c>
      <c r="L46" s="5">
        <f t="shared" si="5"/>
        <v>410</v>
      </c>
      <c r="M46" s="5">
        <f t="shared" si="4"/>
        <v>0</v>
      </c>
      <c r="N46" s="5"/>
      <c r="O46" s="5"/>
      <c r="P46" s="5"/>
      <c r="Q46" s="5"/>
    </row>
    <row r="47">
      <c r="A47" s="5" t="s">
        <v>54</v>
      </c>
      <c r="B47" s="5" t="s">
        <v>32</v>
      </c>
      <c r="C47" s="5">
        <v>501.0</v>
      </c>
      <c r="D47" s="5" t="s">
        <v>92</v>
      </c>
      <c r="E47" s="6" t="s">
        <v>113</v>
      </c>
      <c r="F47" s="5">
        <v>115.0</v>
      </c>
      <c r="G47" s="5">
        <v>7.0</v>
      </c>
      <c r="H47" s="7"/>
      <c r="I47" s="5" t="s">
        <v>114</v>
      </c>
      <c r="J47" s="5">
        <v>0.0</v>
      </c>
      <c r="K47" s="5">
        <v>730.0</v>
      </c>
      <c r="L47" s="5">
        <f t="shared" si="5"/>
        <v>730</v>
      </c>
      <c r="M47" s="5">
        <f t="shared" si="4"/>
        <v>0</v>
      </c>
      <c r="N47" s="5"/>
      <c r="O47" s="5"/>
      <c r="P47" s="5"/>
      <c r="Q47" s="5"/>
    </row>
    <row r="48">
      <c r="A48" s="5" t="s">
        <v>43</v>
      </c>
      <c r="B48" s="5" t="s">
        <v>32</v>
      </c>
      <c r="C48" s="5" t="s">
        <v>26</v>
      </c>
      <c r="D48" s="8"/>
      <c r="E48" s="6" t="s">
        <v>113</v>
      </c>
      <c r="F48" s="5">
        <v>275.0</v>
      </c>
      <c r="G48" s="5">
        <v>1.0</v>
      </c>
      <c r="H48" s="7"/>
      <c r="I48" s="8"/>
      <c r="J48" s="5">
        <v>0.0</v>
      </c>
      <c r="K48" s="5">
        <v>550.0</v>
      </c>
      <c r="L48" s="5">
        <f t="shared" si="5"/>
        <v>550</v>
      </c>
      <c r="M48" s="5">
        <f t="shared" si="4"/>
        <v>0</v>
      </c>
      <c r="N48" s="5"/>
      <c r="O48" s="5"/>
      <c r="P48" s="5"/>
      <c r="Q48" s="5"/>
    </row>
    <row r="49">
      <c r="A49" s="5" t="s">
        <v>115</v>
      </c>
      <c r="B49" s="5" t="s">
        <v>116</v>
      </c>
      <c r="C49" s="5" t="s">
        <v>116</v>
      </c>
      <c r="D49" s="8"/>
      <c r="E49" s="6">
        <v>44934.0</v>
      </c>
      <c r="F49" s="5">
        <v>215.0</v>
      </c>
      <c r="G49" s="5">
        <v>3.0</v>
      </c>
      <c r="H49" s="7"/>
      <c r="I49" s="8"/>
      <c r="J49" s="5">
        <v>0.0</v>
      </c>
      <c r="K49" s="5">
        <v>430.0</v>
      </c>
      <c r="L49" s="5">
        <f t="shared" si="5"/>
        <v>430</v>
      </c>
      <c r="M49" s="5">
        <f t="shared" si="4"/>
        <v>0</v>
      </c>
      <c r="N49" s="5"/>
      <c r="O49" s="5"/>
      <c r="P49" s="5"/>
      <c r="Q49" s="5"/>
    </row>
    <row r="50">
      <c r="A50" s="5" t="s">
        <v>105</v>
      </c>
      <c r="B50" s="5" t="s">
        <v>106</v>
      </c>
      <c r="C50" s="5" t="s">
        <v>107</v>
      </c>
      <c r="D50" s="8"/>
      <c r="E50" s="6" t="s">
        <v>117</v>
      </c>
      <c r="F50" s="5">
        <v>38.0</v>
      </c>
      <c r="G50" s="5">
        <v>4.0</v>
      </c>
      <c r="H50" s="7"/>
      <c r="I50" s="8"/>
      <c r="J50" s="5">
        <v>0.0</v>
      </c>
      <c r="K50" s="5">
        <v>0.0</v>
      </c>
      <c r="L50" s="5">
        <f t="shared" si="5"/>
        <v>0</v>
      </c>
      <c r="M50" s="5">
        <f t="shared" si="4"/>
        <v>0</v>
      </c>
      <c r="N50" s="5"/>
      <c r="O50" s="5"/>
      <c r="P50" s="5"/>
      <c r="Q50" s="5"/>
    </row>
    <row r="51">
      <c r="A51" s="5" t="s">
        <v>118</v>
      </c>
      <c r="B51" s="5" t="s">
        <v>119</v>
      </c>
      <c r="C51" s="5" t="s">
        <v>120</v>
      </c>
      <c r="D51" s="8"/>
      <c r="E51" s="6">
        <v>45207.0</v>
      </c>
      <c r="F51" s="5">
        <v>505.0</v>
      </c>
      <c r="G51" s="5">
        <v>4.0</v>
      </c>
      <c r="H51" s="10">
        <v>45189.0</v>
      </c>
      <c r="I51" s="8"/>
      <c r="J51" s="5">
        <v>0.0</v>
      </c>
      <c r="K51" s="5">
        <v>1010.0</v>
      </c>
      <c r="L51" s="5">
        <f t="shared" si="5"/>
        <v>1010</v>
      </c>
      <c r="M51" s="5">
        <f t="shared" si="4"/>
        <v>0</v>
      </c>
      <c r="N51" s="5"/>
      <c r="O51" s="5"/>
      <c r="P51" s="5"/>
      <c r="Q51" s="5"/>
    </row>
    <row r="52">
      <c r="A52" s="5" t="s">
        <v>118</v>
      </c>
      <c r="B52" s="5" t="s">
        <v>119</v>
      </c>
      <c r="C52" s="5" t="s">
        <v>120</v>
      </c>
      <c r="D52" s="8"/>
      <c r="E52" s="6">
        <v>45268.0</v>
      </c>
      <c r="F52" s="5">
        <v>1025.0</v>
      </c>
      <c r="G52" s="5">
        <v>8.0</v>
      </c>
      <c r="H52" s="7"/>
      <c r="I52" s="8"/>
      <c r="J52" s="5">
        <v>0.0</v>
      </c>
      <c r="K52" s="5">
        <v>2050.0</v>
      </c>
      <c r="L52" s="5">
        <f t="shared" si="5"/>
        <v>2050</v>
      </c>
      <c r="M52" s="5">
        <f t="shared" si="4"/>
        <v>0</v>
      </c>
      <c r="N52" s="5"/>
      <c r="O52" s="5"/>
      <c r="P52" s="5"/>
      <c r="Q52" s="5"/>
    </row>
    <row r="53">
      <c r="A53" s="5" t="s">
        <v>121</v>
      </c>
      <c r="B53" s="5" t="s">
        <v>32</v>
      </c>
      <c r="C53" s="5" t="s">
        <v>58</v>
      </c>
      <c r="D53" s="5" t="s">
        <v>100</v>
      </c>
      <c r="E53" s="6">
        <v>45146.0</v>
      </c>
      <c r="F53" s="5">
        <v>495.0</v>
      </c>
      <c r="G53" s="5">
        <v>3.0</v>
      </c>
      <c r="H53" s="7"/>
      <c r="I53" s="8"/>
      <c r="J53" s="5">
        <v>0.0</v>
      </c>
      <c r="K53" s="5">
        <v>990.0</v>
      </c>
      <c r="L53" s="5">
        <f t="shared" si="5"/>
        <v>990</v>
      </c>
      <c r="M53" s="5">
        <f t="shared" si="4"/>
        <v>0</v>
      </c>
      <c r="N53" s="5"/>
      <c r="O53" s="5"/>
      <c r="P53" s="5"/>
      <c r="Q53" s="5"/>
    </row>
    <row r="54">
      <c r="A54" s="5" t="s">
        <v>54</v>
      </c>
      <c r="B54" s="5" t="s">
        <v>32</v>
      </c>
      <c r="C54" s="5" t="s">
        <v>122</v>
      </c>
      <c r="D54" s="5" t="s">
        <v>92</v>
      </c>
      <c r="E54" s="6">
        <v>45146.0</v>
      </c>
      <c r="F54" s="5">
        <v>98.0</v>
      </c>
      <c r="G54" s="5">
        <v>3.0</v>
      </c>
      <c r="H54" s="7"/>
      <c r="I54" s="5" t="s">
        <v>123</v>
      </c>
      <c r="J54" s="5">
        <v>0.0</v>
      </c>
      <c r="K54" s="5">
        <v>796.0</v>
      </c>
      <c r="L54" s="5">
        <f t="shared" si="5"/>
        <v>796</v>
      </c>
      <c r="M54" s="5">
        <f t="shared" si="4"/>
        <v>0</v>
      </c>
      <c r="N54" s="5"/>
      <c r="O54" s="5"/>
      <c r="P54" s="5"/>
      <c r="Q54" s="5"/>
    </row>
    <row r="55">
      <c r="A55" s="5" t="s">
        <v>68</v>
      </c>
      <c r="B55" s="5" t="s">
        <v>124</v>
      </c>
      <c r="C55" s="5" t="s">
        <v>125</v>
      </c>
      <c r="D55" s="5" t="s">
        <v>126</v>
      </c>
      <c r="E55" s="6">
        <v>45177.0</v>
      </c>
      <c r="F55" s="5">
        <v>233.0</v>
      </c>
      <c r="G55" s="5">
        <v>10.0</v>
      </c>
      <c r="H55" s="7"/>
      <c r="I55" s="8"/>
      <c r="J55" s="5">
        <v>0.0</v>
      </c>
      <c r="K55" s="5">
        <v>466.0</v>
      </c>
      <c r="L55" s="5">
        <f t="shared" si="5"/>
        <v>466</v>
      </c>
      <c r="M55" s="5">
        <f t="shared" si="4"/>
        <v>0</v>
      </c>
      <c r="N55" s="5"/>
      <c r="O55" s="5"/>
      <c r="P55" s="5"/>
      <c r="Q55" s="5"/>
    </row>
    <row r="56">
      <c r="A56" s="5" t="s">
        <v>43</v>
      </c>
      <c r="B56" s="5" t="s">
        <v>25</v>
      </c>
      <c r="C56" s="5" t="s">
        <v>127</v>
      </c>
      <c r="D56" s="5" t="s">
        <v>128</v>
      </c>
      <c r="E56" s="6" t="s">
        <v>129</v>
      </c>
      <c r="F56" s="5">
        <v>49.0</v>
      </c>
      <c r="G56" s="5">
        <v>8.0</v>
      </c>
      <c r="H56" s="7"/>
      <c r="I56" s="8"/>
      <c r="J56" s="5">
        <v>0.0</v>
      </c>
      <c r="K56" s="5">
        <v>98.0</v>
      </c>
      <c r="L56" s="5">
        <f t="shared" si="5"/>
        <v>98</v>
      </c>
      <c r="M56" s="5">
        <f t="shared" si="4"/>
        <v>0</v>
      </c>
      <c r="N56" s="5"/>
      <c r="O56" s="5"/>
      <c r="P56" s="5"/>
      <c r="Q56" s="5"/>
    </row>
    <row r="57">
      <c r="A57" s="5" t="s">
        <v>68</v>
      </c>
      <c r="B57" s="5" t="s">
        <v>124</v>
      </c>
      <c r="C57" s="5" t="s">
        <v>130</v>
      </c>
      <c r="D57" s="5" t="s">
        <v>131</v>
      </c>
      <c r="E57" s="6" t="s">
        <v>132</v>
      </c>
      <c r="F57" s="5">
        <v>336.0</v>
      </c>
      <c r="G57" s="5">
        <v>10.0</v>
      </c>
      <c r="H57" s="7"/>
      <c r="I57" s="5" t="s">
        <v>133</v>
      </c>
      <c r="J57" s="5">
        <v>0.0</v>
      </c>
      <c r="K57" s="5">
        <v>2250.0</v>
      </c>
      <c r="L57" s="5">
        <f t="shared" si="5"/>
        <v>2250</v>
      </c>
      <c r="M57" s="5">
        <f t="shared" si="4"/>
        <v>0</v>
      </c>
      <c r="N57" s="5"/>
      <c r="O57" s="5"/>
      <c r="P57" s="5"/>
      <c r="Q57" s="5"/>
    </row>
    <row r="58">
      <c r="A58" s="5" t="s">
        <v>81</v>
      </c>
      <c r="B58" s="5" t="s">
        <v>134</v>
      </c>
      <c r="C58" s="5" t="s">
        <v>135</v>
      </c>
      <c r="D58" s="5" t="s">
        <v>128</v>
      </c>
      <c r="E58" s="6" t="s">
        <v>136</v>
      </c>
      <c r="F58" s="5">
        <v>76.0</v>
      </c>
      <c r="G58" s="5">
        <v>9.0</v>
      </c>
      <c r="H58" s="7"/>
      <c r="I58" s="8"/>
      <c r="J58" s="5">
        <v>0.0</v>
      </c>
      <c r="K58" s="5">
        <v>152.0</v>
      </c>
      <c r="L58" s="5">
        <f t="shared" si="5"/>
        <v>152</v>
      </c>
      <c r="M58" s="5">
        <f t="shared" si="4"/>
        <v>0</v>
      </c>
      <c r="N58" s="5"/>
      <c r="O58" s="5"/>
      <c r="P58" s="5"/>
      <c r="Q58" s="5"/>
    </row>
    <row r="59">
      <c r="A59" s="5" t="s">
        <v>81</v>
      </c>
      <c r="B59" s="5" t="s">
        <v>134</v>
      </c>
      <c r="C59" s="5" t="s">
        <v>137</v>
      </c>
      <c r="D59" s="5" t="s">
        <v>138</v>
      </c>
      <c r="E59" s="6" t="s">
        <v>136</v>
      </c>
      <c r="F59" s="5">
        <v>8.0</v>
      </c>
      <c r="G59" s="5">
        <v>9.0</v>
      </c>
      <c r="H59" s="7"/>
      <c r="I59" s="8"/>
      <c r="J59" s="5">
        <v>0.0</v>
      </c>
      <c r="K59" s="5">
        <v>16.0</v>
      </c>
      <c r="L59" s="5">
        <f t="shared" si="5"/>
        <v>16</v>
      </c>
      <c r="M59" s="5">
        <f t="shared" si="4"/>
        <v>0</v>
      </c>
      <c r="N59" s="5"/>
      <c r="O59" s="5"/>
      <c r="P59" s="5"/>
      <c r="Q59" s="5"/>
    </row>
    <row r="60">
      <c r="A60" s="5" t="s">
        <v>46</v>
      </c>
      <c r="B60" s="5" t="s">
        <v>25</v>
      </c>
      <c r="C60" s="5">
        <v>1574.0</v>
      </c>
      <c r="D60" s="5" t="s">
        <v>103</v>
      </c>
      <c r="E60" s="6" t="s">
        <v>139</v>
      </c>
      <c r="F60" s="5">
        <v>62.0</v>
      </c>
      <c r="G60" s="5">
        <v>10.0</v>
      </c>
      <c r="H60" s="7"/>
      <c r="I60" s="8"/>
      <c r="J60" s="5">
        <v>0.0</v>
      </c>
      <c r="K60" s="5">
        <v>124.0</v>
      </c>
      <c r="L60" s="5">
        <f t="shared" si="5"/>
        <v>124</v>
      </c>
      <c r="M60" s="5">
        <f t="shared" si="4"/>
        <v>0</v>
      </c>
      <c r="N60" s="5"/>
      <c r="O60" s="5"/>
      <c r="P60" s="5"/>
      <c r="Q60" s="5"/>
    </row>
    <row r="61">
      <c r="A61" s="5" t="s">
        <v>46</v>
      </c>
      <c r="B61" s="5" t="s">
        <v>32</v>
      </c>
      <c r="C61" s="5" t="s">
        <v>140</v>
      </c>
      <c r="D61" s="5" t="s">
        <v>141</v>
      </c>
      <c r="E61" s="6" t="s">
        <v>142</v>
      </c>
      <c r="F61" s="5">
        <v>25.0</v>
      </c>
      <c r="G61" s="5">
        <v>10.0</v>
      </c>
      <c r="H61" s="7"/>
      <c r="I61" s="8"/>
      <c r="J61" s="5">
        <v>0.0</v>
      </c>
      <c r="K61" s="5">
        <v>50.0</v>
      </c>
      <c r="L61" s="5">
        <f t="shared" si="5"/>
        <v>50</v>
      </c>
      <c r="M61" s="5">
        <f t="shared" si="4"/>
        <v>0</v>
      </c>
      <c r="N61" s="5"/>
      <c r="O61" s="5"/>
      <c r="P61" s="5"/>
      <c r="Q61" s="5"/>
    </row>
    <row r="62">
      <c r="A62" s="5" t="s">
        <v>46</v>
      </c>
      <c r="B62" s="5" t="s">
        <v>25</v>
      </c>
      <c r="C62" s="5" t="s">
        <v>31</v>
      </c>
      <c r="D62" s="5" t="s">
        <v>138</v>
      </c>
      <c r="E62" s="6" t="s">
        <v>142</v>
      </c>
      <c r="F62" s="5">
        <v>5.0</v>
      </c>
      <c r="G62" s="5">
        <v>10.0</v>
      </c>
      <c r="H62" s="7"/>
      <c r="I62" s="8"/>
      <c r="J62" s="5">
        <v>0.0</v>
      </c>
      <c r="K62" s="5">
        <v>10.0</v>
      </c>
      <c r="L62" s="5">
        <f t="shared" si="5"/>
        <v>10</v>
      </c>
      <c r="M62" s="5">
        <f t="shared" si="4"/>
        <v>0</v>
      </c>
      <c r="N62" s="5"/>
      <c r="O62" s="5"/>
      <c r="P62" s="5"/>
      <c r="Q62" s="5"/>
    </row>
    <row r="63">
      <c r="A63" s="5" t="s">
        <v>46</v>
      </c>
      <c r="B63" s="5" t="s">
        <v>32</v>
      </c>
      <c r="C63" s="5" t="s">
        <v>122</v>
      </c>
      <c r="D63" s="5" t="s">
        <v>141</v>
      </c>
      <c r="E63" s="6">
        <v>45025.0</v>
      </c>
      <c r="F63" s="5">
        <v>34.0</v>
      </c>
      <c r="G63" s="5">
        <v>5.0</v>
      </c>
      <c r="H63" s="7"/>
      <c r="I63" s="8"/>
      <c r="J63" s="5">
        <v>0.0</v>
      </c>
      <c r="K63" s="5">
        <v>68.0</v>
      </c>
      <c r="L63" s="5">
        <f t="shared" si="5"/>
        <v>68</v>
      </c>
      <c r="M63" s="5">
        <f t="shared" si="4"/>
        <v>0</v>
      </c>
      <c r="N63" s="5"/>
      <c r="O63" s="5"/>
      <c r="P63" s="5"/>
      <c r="Q63" s="5"/>
    </row>
    <row r="64">
      <c r="A64" s="5" t="s">
        <v>46</v>
      </c>
      <c r="B64" s="5" t="s">
        <v>32</v>
      </c>
      <c r="C64" s="5" t="s">
        <v>135</v>
      </c>
      <c r="D64" s="5" t="s">
        <v>143</v>
      </c>
      <c r="E64" s="6">
        <v>45025.0</v>
      </c>
      <c r="F64" s="5">
        <v>72.0</v>
      </c>
      <c r="G64" s="5">
        <v>5.0</v>
      </c>
      <c r="H64" s="7"/>
      <c r="I64" s="8"/>
      <c r="J64" s="5">
        <v>0.0</v>
      </c>
      <c r="K64" s="5">
        <v>144.0</v>
      </c>
      <c r="L64" s="5">
        <f t="shared" si="5"/>
        <v>144</v>
      </c>
      <c r="M64" s="5">
        <f t="shared" si="4"/>
        <v>0</v>
      </c>
      <c r="N64" s="5"/>
      <c r="O64" s="5"/>
      <c r="P64" s="5"/>
      <c r="Q64" s="5"/>
    </row>
    <row r="65">
      <c r="A65" s="5" t="s">
        <v>46</v>
      </c>
      <c r="B65" s="5" t="s">
        <v>124</v>
      </c>
      <c r="C65" s="5" t="s">
        <v>144</v>
      </c>
      <c r="D65" s="5" t="s">
        <v>89</v>
      </c>
      <c r="E65" s="6">
        <v>45025.0</v>
      </c>
      <c r="F65" s="5">
        <v>24.0</v>
      </c>
      <c r="G65" s="5">
        <v>5.0</v>
      </c>
      <c r="H65" s="7"/>
      <c r="I65" s="8"/>
      <c r="J65" s="5">
        <v>0.0</v>
      </c>
      <c r="K65" s="5">
        <v>48.0</v>
      </c>
      <c r="L65" s="5">
        <f t="shared" si="5"/>
        <v>48</v>
      </c>
      <c r="M65" s="5">
        <f t="shared" si="4"/>
        <v>0</v>
      </c>
      <c r="N65" s="5"/>
      <c r="O65" s="5"/>
      <c r="P65" s="5"/>
      <c r="Q65" s="5"/>
    </row>
    <row r="66">
      <c r="A66" s="5" t="s">
        <v>46</v>
      </c>
      <c r="B66" s="5" t="s">
        <v>124</v>
      </c>
      <c r="C66" s="5" t="s">
        <v>145</v>
      </c>
      <c r="D66" s="5" t="s">
        <v>92</v>
      </c>
      <c r="E66" s="6">
        <v>45055.0</v>
      </c>
      <c r="F66" s="5">
        <v>103.0</v>
      </c>
      <c r="G66" s="5">
        <v>5.0</v>
      </c>
      <c r="H66" s="7"/>
      <c r="I66" s="8"/>
      <c r="J66" s="5">
        <v>0.0</v>
      </c>
      <c r="K66" s="5">
        <v>206.0</v>
      </c>
      <c r="L66" s="5">
        <f t="shared" si="5"/>
        <v>206</v>
      </c>
      <c r="M66" s="5">
        <f t="shared" si="4"/>
        <v>0</v>
      </c>
      <c r="N66" s="5"/>
      <c r="O66" s="5"/>
      <c r="P66" s="5"/>
      <c r="Q66" s="5"/>
    </row>
    <row r="67">
      <c r="A67" s="5" t="s">
        <v>46</v>
      </c>
      <c r="B67" s="5" t="s">
        <v>124</v>
      </c>
      <c r="C67" s="5">
        <v>129.0</v>
      </c>
      <c r="D67" s="5" t="s">
        <v>92</v>
      </c>
      <c r="E67" s="6">
        <v>45055.0</v>
      </c>
      <c r="F67" s="5">
        <v>98.0</v>
      </c>
      <c r="G67" s="5">
        <v>5.0</v>
      </c>
      <c r="H67" s="7"/>
      <c r="I67" s="8"/>
      <c r="J67" s="5">
        <v>0.0</v>
      </c>
      <c r="K67" s="5">
        <v>196.0</v>
      </c>
      <c r="L67" s="5">
        <f t="shared" si="5"/>
        <v>196</v>
      </c>
      <c r="M67" s="5">
        <f t="shared" si="4"/>
        <v>0</v>
      </c>
      <c r="N67" s="5"/>
      <c r="O67" s="5"/>
      <c r="P67" s="5"/>
      <c r="Q67" s="5"/>
    </row>
    <row r="68">
      <c r="A68" s="5" t="s">
        <v>146</v>
      </c>
      <c r="B68" s="5" t="s">
        <v>134</v>
      </c>
      <c r="C68" s="8"/>
      <c r="D68" s="5" t="s">
        <v>147</v>
      </c>
      <c r="E68" s="6">
        <v>44993.0</v>
      </c>
      <c r="F68" s="5">
        <v>123.0</v>
      </c>
      <c r="G68" s="5">
        <v>9.0</v>
      </c>
      <c r="H68" s="7"/>
      <c r="I68" s="8"/>
      <c r="J68" s="5">
        <v>0.0</v>
      </c>
      <c r="K68" s="5">
        <v>215.25</v>
      </c>
      <c r="L68" s="5">
        <f t="shared" si="5"/>
        <v>-269.75</v>
      </c>
      <c r="M68" s="5">
        <f t="shared" si="4"/>
        <v>485</v>
      </c>
      <c r="N68" s="5">
        <v>485.0</v>
      </c>
      <c r="O68" s="5"/>
      <c r="P68" s="5"/>
      <c r="Q68" s="5"/>
    </row>
    <row r="69">
      <c r="A69" s="5" t="s">
        <v>93</v>
      </c>
      <c r="B69" s="5" t="s">
        <v>32</v>
      </c>
      <c r="C69" s="5" t="s">
        <v>148</v>
      </c>
      <c r="D69" s="5" t="s">
        <v>149</v>
      </c>
      <c r="E69" s="6" t="s">
        <v>150</v>
      </c>
      <c r="F69" s="5">
        <v>30.0</v>
      </c>
      <c r="G69" s="5">
        <v>7.0</v>
      </c>
      <c r="H69" s="7"/>
      <c r="I69" s="8"/>
      <c r="J69" s="5">
        <v>0.0</v>
      </c>
      <c r="K69" s="5">
        <v>60.0</v>
      </c>
      <c r="L69" s="5">
        <f t="shared" si="5"/>
        <v>28</v>
      </c>
      <c r="M69" s="5">
        <f t="shared" si="4"/>
        <v>32</v>
      </c>
      <c r="N69" s="5">
        <v>32.0</v>
      </c>
      <c r="O69" s="5"/>
      <c r="P69" s="5"/>
      <c r="Q69" s="5"/>
    </row>
    <row r="70">
      <c r="A70" s="5" t="s">
        <v>93</v>
      </c>
      <c r="B70" s="5" t="s">
        <v>25</v>
      </c>
      <c r="C70" s="5">
        <v>1574.0</v>
      </c>
      <c r="D70" s="5" t="s">
        <v>151</v>
      </c>
      <c r="E70" s="6" t="s">
        <v>152</v>
      </c>
      <c r="F70" s="5">
        <v>38.0</v>
      </c>
      <c r="G70" s="5">
        <v>5.0</v>
      </c>
      <c r="H70" s="7"/>
      <c r="I70" s="8"/>
      <c r="J70" s="5">
        <v>0.0</v>
      </c>
      <c r="K70" s="5">
        <v>76.0</v>
      </c>
      <c r="L70" s="5">
        <f t="shared" si="5"/>
        <v>76</v>
      </c>
      <c r="M70" s="5">
        <f t="shared" si="4"/>
        <v>0</v>
      </c>
      <c r="N70" s="5"/>
      <c r="O70" s="5"/>
      <c r="P70" s="5"/>
      <c r="Q70" s="5"/>
    </row>
    <row r="71">
      <c r="A71" s="5" t="s">
        <v>153</v>
      </c>
      <c r="B71" s="5" t="s">
        <v>124</v>
      </c>
      <c r="C71" s="5" t="s">
        <v>154</v>
      </c>
      <c r="D71" s="5" t="s">
        <v>89</v>
      </c>
      <c r="E71" s="6">
        <v>45025.0</v>
      </c>
      <c r="F71" s="5">
        <v>25.0</v>
      </c>
      <c r="G71" s="5">
        <v>5.0</v>
      </c>
      <c r="H71" s="7"/>
      <c r="I71" s="8"/>
      <c r="J71" s="5">
        <v>0.0</v>
      </c>
      <c r="K71" s="5">
        <v>50.0</v>
      </c>
      <c r="L71" s="5">
        <f t="shared" si="5"/>
        <v>-100</v>
      </c>
      <c r="M71" s="5">
        <f t="shared" si="4"/>
        <v>150</v>
      </c>
      <c r="N71" s="5">
        <v>150.0</v>
      </c>
      <c r="O71" s="5"/>
      <c r="P71" s="5"/>
      <c r="Q71" s="5"/>
    </row>
    <row r="72">
      <c r="A72" s="5" t="s">
        <v>153</v>
      </c>
      <c r="B72" s="5" t="s">
        <v>32</v>
      </c>
      <c r="C72" s="5">
        <v>215.0</v>
      </c>
      <c r="D72" s="5" t="s">
        <v>149</v>
      </c>
      <c r="E72" s="6">
        <v>45025.0</v>
      </c>
      <c r="F72" s="5">
        <v>31.0</v>
      </c>
      <c r="G72" s="5">
        <v>5.0</v>
      </c>
      <c r="H72" s="7"/>
      <c r="I72" s="8"/>
      <c r="J72" s="5">
        <v>0.0</v>
      </c>
      <c r="K72" s="5">
        <v>62.0</v>
      </c>
      <c r="L72" s="5">
        <f t="shared" si="5"/>
        <v>62</v>
      </c>
      <c r="M72" s="5">
        <f t="shared" si="4"/>
        <v>0</v>
      </c>
      <c r="N72" s="5"/>
      <c r="O72" s="5"/>
      <c r="P72" s="5"/>
      <c r="Q72" s="5"/>
    </row>
    <row r="73">
      <c r="A73" s="5" t="s">
        <v>153</v>
      </c>
      <c r="B73" s="5" t="s">
        <v>124</v>
      </c>
      <c r="C73" s="5" t="s">
        <v>31</v>
      </c>
      <c r="D73" s="5" t="s">
        <v>155</v>
      </c>
      <c r="E73" s="6">
        <v>45025.0</v>
      </c>
      <c r="F73" s="5">
        <v>7.0</v>
      </c>
      <c r="G73" s="5">
        <v>5.0</v>
      </c>
      <c r="H73" s="7"/>
      <c r="I73" s="8"/>
      <c r="J73" s="5">
        <v>0.0</v>
      </c>
      <c r="K73" s="5">
        <v>14.0</v>
      </c>
      <c r="L73" s="5">
        <f t="shared" si="5"/>
        <v>14</v>
      </c>
      <c r="M73" s="5">
        <f t="shared" si="4"/>
        <v>0</v>
      </c>
      <c r="N73" s="5"/>
      <c r="O73" s="5"/>
      <c r="P73" s="5"/>
      <c r="Q73" s="5"/>
    </row>
    <row r="74">
      <c r="A74" s="5" t="s">
        <v>46</v>
      </c>
      <c r="B74" s="5" t="s">
        <v>124</v>
      </c>
      <c r="C74" s="5">
        <v>211.0</v>
      </c>
      <c r="D74" s="5" t="s">
        <v>156</v>
      </c>
      <c r="E74" s="6">
        <v>45025.0</v>
      </c>
      <c r="F74" s="5">
        <v>15.0</v>
      </c>
      <c r="G74" s="5">
        <v>5.0</v>
      </c>
      <c r="H74" s="7"/>
      <c r="I74" s="8"/>
      <c r="J74" s="5">
        <v>0.0</v>
      </c>
      <c r="K74" s="5">
        <v>30.0</v>
      </c>
      <c r="L74" s="5">
        <f t="shared" si="5"/>
        <v>30</v>
      </c>
      <c r="M74" s="5">
        <f t="shared" si="4"/>
        <v>0</v>
      </c>
      <c r="N74" s="5"/>
      <c r="O74" s="5"/>
      <c r="P74" s="5"/>
      <c r="Q74" s="5"/>
    </row>
    <row r="75">
      <c r="A75" s="5" t="s">
        <v>157</v>
      </c>
      <c r="B75" s="5" t="s">
        <v>32</v>
      </c>
      <c r="C75" s="5" t="s">
        <v>148</v>
      </c>
      <c r="D75" s="5" t="s">
        <v>158</v>
      </c>
      <c r="E75" s="6">
        <v>44994.0</v>
      </c>
      <c r="F75" s="5">
        <v>61.0</v>
      </c>
      <c r="G75" s="5">
        <v>7.0</v>
      </c>
      <c r="H75" s="7"/>
      <c r="I75" s="8"/>
      <c r="J75" s="5">
        <v>0.0</v>
      </c>
      <c r="K75" s="5">
        <v>120.0</v>
      </c>
      <c r="L75" s="5">
        <f t="shared" si="5"/>
        <v>120</v>
      </c>
      <c r="M75" s="5">
        <f t="shared" si="4"/>
        <v>0</v>
      </c>
      <c r="N75" s="5"/>
      <c r="O75" s="5"/>
      <c r="P75" s="5"/>
      <c r="Q75" s="5"/>
    </row>
    <row r="76">
      <c r="A76" s="5" t="s">
        <v>54</v>
      </c>
      <c r="B76" s="5" t="s">
        <v>32</v>
      </c>
      <c r="C76" s="5" t="s">
        <v>159</v>
      </c>
      <c r="D76" s="8"/>
      <c r="E76" s="6">
        <v>45025.0</v>
      </c>
      <c r="F76" s="5">
        <v>170.0</v>
      </c>
      <c r="G76" s="5">
        <v>6.0</v>
      </c>
      <c r="H76" s="7"/>
      <c r="I76" s="8"/>
      <c r="J76" s="5">
        <v>0.0</v>
      </c>
      <c r="K76" s="5">
        <v>340.0</v>
      </c>
      <c r="L76" s="5">
        <f t="shared" si="5"/>
        <v>340</v>
      </c>
      <c r="M76" s="5">
        <f t="shared" si="4"/>
        <v>0</v>
      </c>
      <c r="N76" s="5"/>
      <c r="O76" s="5"/>
      <c r="P76" s="5"/>
      <c r="Q76" s="5"/>
    </row>
    <row r="77">
      <c r="A77" s="5" t="s">
        <v>54</v>
      </c>
      <c r="B77" s="5" t="s">
        <v>160</v>
      </c>
      <c r="C77" s="5" t="s">
        <v>120</v>
      </c>
      <c r="D77" s="5" t="s">
        <v>38</v>
      </c>
      <c r="E77" s="6">
        <v>45025.0</v>
      </c>
      <c r="F77" s="5">
        <v>40.0</v>
      </c>
      <c r="G77" s="5">
        <v>6.0</v>
      </c>
      <c r="H77" s="7"/>
      <c r="I77" s="5" t="s">
        <v>161</v>
      </c>
      <c r="J77" s="5">
        <v>0.0</v>
      </c>
      <c r="K77" s="5">
        <v>120.0</v>
      </c>
      <c r="L77" s="5">
        <f t="shared" si="5"/>
        <v>120</v>
      </c>
      <c r="M77" s="5">
        <f t="shared" si="4"/>
        <v>0</v>
      </c>
      <c r="N77" s="5"/>
      <c r="O77" s="5"/>
      <c r="P77" s="5"/>
      <c r="Q77" s="5"/>
    </row>
    <row r="78">
      <c r="A78" s="5" t="s">
        <v>162</v>
      </c>
      <c r="B78" s="5" t="s">
        <v>25</v>
      </c>
      <c r="C78" s="5">
        <v>1574.0</v>
      </c>
      <c r="D78" s="5" t="s">
        <v>141</v>
      </c>
      <c r="E78" s="6">
        <v>44994.0</v>
      </c>
      <c r="F78" s="5">
        <v>38.0</v>
      </c>
      <c r="G78" s="5">
        <v>5.0</v>
      </c>
      <c r="H78" s="7"/>
      <c r="I78" s="8"/>
      <c r="J78" s="5">
        <v>0.0</v>
      </c>
      <c r="K78" s="5">
        <v>76.0</v>
      </c>
      <c r="L78" s="5">
        <f t="shared" si="5"/>
        <v>76</v>
      </c>
      <c r="M78" s="5">
        <f t="shared" si="4"/>
        <v>0</v>
      </c>
      <c r="N78" s="5"/>
      <c r="O78" s="5"/>
      <c r="P78" s="5"/>
      <c r="Q78" s="5"/>
    </row>
    <row r="79">
      <c r="A79" s="5" t="s">
        <v>162</v>
      </c>
      <c r="B79" s="5" t="s">
        <v>25</v>
      </c>
      <c r="C79" s="5" t="s">
        <v>31</v>
      </c>
      <c r="D79" s="5" t="s">
        <v>138</v>
      </c>
      <c r="E79" s="6">
        <v>44994.0</v>
      </c>
      <c r="F79" s="5">
        <v>5.0</v>
      </c>
      <c r="G79" s="5">
        <v>5.0</v>
      </c>
      <c r="H79" s="7"/>
      <c r="I79" s="8"/>
      <c r="J79" s="5">
        <v>0.0</v>
      </c>
      <c r="K79" s="5">
        <v>10.0</v>
      </c>
      <c r="L79" s="5">
        <f t="shared" si="5"/>
        <v>10</v>
      </c>
      <c r="M79" s="5">
        <f t="shared" si="4"/>
        <v>0</v>
      </c>
      <c r="N79" s="5"/>
      <c r="O79" s="5"/>
      <c r="P79" s="5"/>
      <c r="Q79" s="5"/>
    </row>
    <row r="80">
      <c r="A80" s="5" t="s">
        <v>98</v>
      </c>
      <c r="B80" s="5" t="s">
        <v>134</v>
      </c>
      <c r="C80" s="5" t="s">
        <v>31</v>
      </c>
      <c r="D80" s="8"/>
      <c r="E80" s="6">
        <v>44994.0</v>
      </c>
      <c r="F80" s="5">
        <v>48.0</v>
      </c>
      <c r="G80" s="5">
        <v>9.0</v>
      </c>
      <c r="H80" s="7"/>
      <c r="I80" s="8"/>
      <c r="J80" s="5">
        <v>0.0</v>
      </c>
      <c r="K80" s="5">
        <v>96.0</v>
      </c>
      <c r="L80" s="5">
        <f t="shared" si="5"/>
        <v>96</v>
      </c>
      <c r="M80" s="5">
        <f t="shared" si="4"/>
        <v>0</v>
      </c>
      <c r="N80" s="5"/>
      <c r="O80" s="5"/>
      <c r="P80" s="5"/>
      <c r="Q80" s="5"/>
    </row>
    <row r="81">
      <c r="A81" s="5" t="s">
        <v>98</v>
      </c>
      <c r="B81" s="5" t="s">
        <v>124</v>
      </c>
      <c r="C81" s="5" t="s">
        <v>31</v>
      </c>
      <c r="D81" s="8"/>
      <c r="E81" s="6">
        <v>44994.0</v>
      </c>
      <c r="F81" s="5">
        <v>50.0</v>
      </c>
      <c r="G81" s="5">
        <v>5.0</v>
      </c>
      <c r="H81" s="7"/>
      <c r="I81" s="8"/>
      <c r="J81" s="5">
        <v>0.0</v>
      </c>
      <c r="K81" s="5">
        <v>100.0</v>
      </c>
      <c r="L81" s="5">
        <f t="shared" si="5"/>
        <v>100</v>
      </c>
      <c r="M81" s="5">
        <f t="shared" si="4"/>
        <v>0</v>
      </c>
      <c r="N81" s="5"/>
      <c r="O81" s="5"/>
      <c r="P81" s="5"/>
      <c r="Q81" s="5"/>
    </row>
    <row r="82">
      <c r="A82" s="5" t="s">
        <v>93</v>
      </c>
      <c r="B82" s="5" t="s">
        <v>124</v>
      </c>
      <c r="C82" s="5">
        <v>129.0</v>
      </c>
      <c r="D82" s="5" t="s">
        <v>163</v>
      </c>
      <c r="E82" s="6">
        <v>45055.0</v>
      </c>
      <c r="F82" s="5">
        <v>67.0</v>
      </c>
      <c r="G82" s="5">
        <v>5.0</v>
      </c>
      <c r="H82" s="7"/>
      <c r="I82" s="8"/>
      <c r="J82" s="5">
        <v>0.0</v>
      </c>
      <c r="K82" s="5">
        <v>134.0</v>
      </c>
      <c r="L82" s="5">
        <f t="shared" si="5"/>
        <v>134</v>
      </c>
      <c r="M82" s="5">
        <f t="shared" si="4"/>
        <v>0</v>
      </c>
      <c r="N82" s="5"/>
      <c r="O82" s="5"/>
      <c r="P82" s="5"/>
      <c r="Q82" s="5"/>
    </row>
    <row r="83">
      <c r="A83" s="5" t="s">
        <v>30</v>
      </c>
      <c r="B83" s="5" t="s">
        <v>25</v>
      </c>
      <c r="C83" s="5" t="s">
        <v>31</v>
      </c>
      <c r="D83" s="8"/>
      <c r="E83" s="6">
        <v>45025.0</v>
      </c>
      <c r="F83" s="5">
        <v>8.0</v>
      </c>
      <c r="G83" s="5">
        <v>5.0</v>
      </c>
      <c r="H83" s="7"/>
      <c r="I83" s="8"/>
      <c r="J83" s="5">
        <v>0.0</v>
      </c>
      <c r="K83" s="5">
        <v>16.0</v>
      </c>
      <c r="L83" s="5">
        <f t="shared" si="5"/>
        <v>16</v>
      </c>
      <c r="M83" s="5">
        <f t="shared" si="4"/>
        <v>0</v>
      </c>
      <c r="N83" s="5"/>
      <c r="O83" s="5"/>
      <c r="P83" s="5"/>
      <c r="Q83" s="5"/>
    </row>
    <row r="84">
      <c r="A84" s="5" t="s">
        <v>30</v>
      </c>
      <c r="B84" s="5" t="s">
        <v>25</v>
      </c>
      <c r="C84" s="5" t="s">
        <v>164</v>
      </c>
      <c r="D84" s="8"/>
      <c r="E84" s="6">
        <v>45055.0</v>
      </c>
      <c r="F84" s="5">
        <v>5.0</v>
      </c>
      <c r="G84" s="5">
        <v>6.0</v>
      </c>
      <c r="H84" s="7"/>
      <c r="I84" s="8"/>
      <c r="J84" s="5">
        <v>0.0</v>
      </c>
      <c r="K84" s="5">
        <v>10.0</v>
      </c>
      <c r="L84" s="5">
        <f t="shared" si="5"/>
        <v>10</v>
      </c>
      <c r="M84" s="5">
        <f t="shared" si="4"/>
        <v>0</v>
      </c>
      <c r="N84" s="5"/>
      <c r="O84" s="5"/>
      <c r="P84" s="5"/>
      <c r="Q84" s="5"/>
    </row>
    <row r="85">
      <c r="A85" s="5" t="s">
        <v>30</v>
      </c>
      <c r="B85" s="5" t="s">
        <v>25</v>
      </c>
      <c r="C85" s="5" t="s">
        <v>165</v>
      </c>
      <c r="D85" s="8"/>
      <c r="E85" s="6">
        <v>45055.0</v>
      </c>
      <c r="F85" s="5">
        <v>4.0</v>
      </c>
      <c r="G85" s="5">
        <v>6.0</v>
      </c>
      <c r="H85" s="7"/>
      <c r="I85" s="8"/>
      <c r="J85" s="5">
        <v>0.0</v>
      </c>
      <c r="K85" s="5">
        <v>8.0</v>
      </c>
      <c r="L85" s="5">
        <f t="shared" si="5"/>
        <v>8</v>
      </c>
      <c r="M85" s="5">
        <f t="shared" si="4"/>
        <v>0</v>
      </c>
      <c r="N85" s="5"/>
      <c r="O85" s="5"/>
      <c r="P85" s="5"/>
      <c r="Q85" s="5"/>
    </row>
    <row r="86">
      <c r="A86" s="5" t="s">
        <v>54</v>
      </c>
      <c r="B86" s="5" t="s">
        <v>160</v>
      </c>
      <c r="C86" s="5" t="s">
        <v>120</v>
      </c>
      <c r="D86" s="5" t="s">
        <v>55</v>
      </c>
      <c r="E86" s="6">
        <v>45055.0</v>
      </c>
      <c r="F86" s="5">
        <v>24.0</v>
      </c>
      <c r="G86" s="5">
        <v>6.0</v>
      </c>
      <c r="H86" s="7"/>
      <c r="I86" s="5" t="s">
        <v>166</v>
      </c>
      <c r="J86" s="5">
        <v>0.0</v>
      </c>
      <c r="K86" s="5">
        <v>68.0</v>
      </c>
      <c r="L86" s="5">
        <f t="shared" si="5"/>
        <v>68</v>
      </c>
      <c r="M86" s="5">
        <f t="shared" si="4"/>
        <v>0</v>
      </c>
      <c r="N86" s="5"/>
      <c r="O86" s="5"/>
      <c r="P86" s="5"/>
      <c r="Q86" s="5"/>
    </row>
    <row r="87">
      <c r="A87" s="5" t="s">
        <v>153</v>
      </c>
      <c r="B87" s="5" t="s">
        <v>134</v>
      </c>
      <c r="C87" s="5" t="s">
        <v>167</v>
      </c>
      <c r="D87" s="5" t="s">
        <v>168</v>
      </c>
      <c r="E87" s="6"/>
      <c r="F87" s="8"/>
      <c r="G87" s="8"/>
      <c r="H87" s="12">
        <v>45200.0</v>
      </c>
      <c r="I87" s="8"/>
      <c r="J87" s="5">
        <v>0.0</v>
      </c>
      <c r="K87" s="5">
        <v>0.0</v>
      </c>
      <c r="L87" s="5">
        <f t="shared" si="5"/>
        <v>0</v>
      </c>
      <c r="M87" s="5">
        <f t="shared" si="4"/>
        <v>0</v>
      </c>
      <c r="N87" s="5"/>
      <c r="O87" s="5"/>
      <c r="P87" s="5"/>
      <c r="Q87" s="5"/>
    </row>
    <row r="88">
      <c r="A88" s="5" t="s">
        <v>153</v>
      </c>
      <c r="B88" s="5" t="s">
        <v>134</v>
      </c>
      <c r="C88" s="5" t="s">
        <v>169</v>
      </c>
      <c r="D88" s="5" t="s">
        <v>168</v>
      </c>
      <c r="E88" s="13"/>
      <c r="F88" s="8"/>
      <c r="G88" s="8"/>
      <c r="H88" s="12">
        <v>45200.0</v>
      </c>
      <c r="I88" s="8"/>
      <c r="J88" s="5">
        <v>0.0</v>
      </c>
      <c r="K88" s="5">
        <v>0.0</v>
      </c>
      <c r="L88" s="5">
        <f t="shared" si="5"/>
        <v>0</v>
      </c>
      <c r="M88" s="5">
        <f t="shared" si="4"/>
        <v>0</v>
      </c>
      <c r="N88" s="5"/>
      <c r="O88" s="5"/>
      <c r="P88" s="5"/>
      <c r="Q88" s="5"/>
    </row>
    <row r="89">
      <c r="A89" s="5" t="s">
        <v>170</v>
      </c>
      <c r="B89" s="5" t="s">
        <v>134</v>
      </c>
      <c r="C89" s="5" t="s">
        <v>171</v>
      </c>
      <c r="D89" s="5" t="s">
        <v>172</v>
      </c>
      <c r="E89" s="13">
        <v>45086.0</v>
      </c>
      <c r="F89" s="5">
        <v>94.0</v>
      </c>
      <c r="G89" s="5">
        <v>9.0</v>
      </c>
      <c r="H89" s="7"/>
      <c r="I89" s="8"/>
      <c r="J89" s="5">
        <v>0.0</v>
      </c>
      <c r="K89" s="5">
        <v>164.5</v>
      </c>
      <c r="L89" s="5">
        <f t="shared" si="5"/>
        <v>164.5</v>
      </c>
      <c r="M89" s="5">
        <f t="shared" si="4"/>
        <v>0</v>
      </c>
      <c r="N89" s="5"/>
      <c r="O89" s="5"/>
      <c r="P89" s="5"/>
      <c r="Q89" s="5"/>
    </row>
    <row r="90">
      <c r="A90" s="5" t="s">
        <v>157</v>
      </c>
      <c r="B90" s="5" t="s">
        <v>124</v>
      </c>
      <c r="C90" s="5" t="s">
        <v>173</v>
      </c>
      <c r="D90" s="5" t="s">
        <v>174</v>
      </c>
      <c r="E90" s="13">
        <v>45086.0</v>
      </c>
      <c r="F90" s="5">
        <v>152.0</v>
      </c>
      <c r="G90" s="5">
        <v>5.0</v>
      </c>
      <c r="H90" s="7"/>
      <c r="I90" s="8"/>
      <c r="J90" s="5">
        <v>0.0</v>
      </c>
      <c r="K90" s="5">
        <v>304.0</v>
      </c>
      <c r="L90" s="5">
        <f t="shared" si="5"/>
        <v>304</v>
      </c>
      <c r="M90" s="5">
        <f t="shared" si="4"/>
        <v>0</v>
      </c>
      <c r="N90" s="5"/>
      <c r="O90" s="5"/>
      <c r="P90" s="5"/>
      <c r="Q90" s="5"/>
    </row>
    <row r="91">
      <c r="A91" s="5" t="s">
        <v>157</v>
      </c>
      <c r="B91" s="5" t="s">
        <v>124</v>
      </c>
      <c r="C91" s="5">
        <v>129.0</v>
      </c>
      <c r="D91" s="5" t="s">
        <v>138</v>
      </c>
      <c r="E91" s="13">
        <v>45086.0</v>
      </c>
      <c r="F91" s="5">
        <v>5.0</v>
      </c>
      <c r="G91" s="5">
        <v>5.0</v>
      </c>
      <c r="H91" s="7"/>
      <c r="I91" s="8"/>
      <c r="J91" s="5">
        <v>0.0</v>
      </c>
      <c r="K91" s="5">
        <v>10.0</v>
      </c>
      <c r="L91" s="5">
        <f t="shared" si="5"/>
        <v>10</v>
      </c>
      <c r="M91" s="5">
        <f t="shared" si="4"/>
        <v>0</v>
      </c>
      <c r="N91" s="5"/>
      <c r="O91" s="5"/>
      <c r="P91" s="5"/>
      <c r="Q91" s="5"/>
    </row>
    <row r="92">
      <c r="A92" s="5" t="s">
        <v>157</v>
      </c>
      <c r="B92" s="5" t="s">
        <v>124</v>
      </c>
      <c r="C92" s="5" t="s">
        <v>175</v>
      </c>
      <c r="D92" s="5" t="s">
        <v>176</v>
      </c>
      <c r="E92" s="13">
        <v>45086.0</v>
      </c>
      <c r="F92" s="5">
        <v>20.0</v>
      </c>
      <c r="G92" s="5">
        <v>5.0</v>
      </c>
      <c r="H92" s="7"/>
      <c r="I92" s="8"/>
      <c r="J92" s="5">
        <v>0.0</v>
      </c>
      <c r="K92" s="5">
        <v>40.0</v>
      </c>
      <c r="L92" s="5">
        <f t="shared" si="5"/>
        <v>40</v>
      </c>
      <c r="M92" s="5">
        <f t="shared" si="4"/>
        <v>0</v>
      </c>
      <c r="N92" s="5"/>
      <c r="O92" s="5"/>
      <c r="P92" s="5"/>
      <c r="Q92" s="5"/>
    </row>
    <row r="93">
      <c r="A93" s="5" t="s">
        <v>157</v>
      </c>
      <c r="B93" s="5" t="s">
        <v>124</v>
      </c>
      <c r="C93" s="5">
        <v>4.0</v>
      </c>
      <c r="D93" s="5" t="s">
        <v>138</v>
      </c>
      <c r="E93" s="13">
        <v>45086.0</v>
      </c>
      <c r="F93" s="5">
        <v>5.0</v>
      </c>
      <c r="G93" s="5">
        <v>4.0</v>
      </c>
      <c r="H93" s="7"/>
      <c r="I93" s="8"/>
      <c r="J93" s="5">
        <v>0.0</v>
      </c>
      <c r="K93" s="5">
        <v>10.0</v>
      </c>
      <c r="L93" s="5">
        <f t="shared" si="5"/>
        <v>10</v>
      </c>
      <c r="M93" s="5">
        <f t="shared" si="4"/>
        <v>0</v>
      </c>
      <c r="N93" s="5"/>
      <c r="O93" s="5"/>
      <c r="P93" s="5"/>
      <c r="Q93" s="5"/>
    </row>
    <row r="94">
      <c r="A94" s="5" t="s">
        <v>118</v>
      </c>
      <c r="B94" s="5" t="s">
        <v>177</v>
      </c>
      <c r="C94" s="5" t="s">
        <v>120</v>
      </c>
      <c r="D94" s="5" t="s">
        <v>178</v>
      </c>
      <c r="E94" s="13">
        <v>45086.0</v>
      </c>
      <c r="F94" s="5">
        <v>100.0</v>
      </c>
      <c r="G94" s="5">
        <v>6.0</v>
      </c>
      <c r="H94" s="7"/>
      <c r="I94" s="8"/>
      <c r="J94" s="5">
        <v>0.0</v>
      </c>
      <c r="K94" s="5">
        <v>200.0</v>
      </c>
      <c r="L94" s="5">
        <f t="shared" si="5"/>
        <v>200</v>
      </c>
      <c r="M94" s="5">
        <f t="shared" si="4"/>
        <v>0</v>
      </c>
      <c r="N94" s="5"/>
      <c r="O94" s="5"/>
      <c r="P94" s="5"/>
      <c r="Q94" s="5"/>
    </row>
    <row r="95">
      <c r="A95" s="5" t="s">
        <v>179</v>
      </c>
      <c r="B95" s="5" t="s">
        <v>32</v>
      </c>
      <c r="C95" s="5">
        <v>501.0</v>
      </c>
      <c r="D95" s="5" t="s">
        <v>92</v>
      </c>
      <c r="E95" s="13">
        <v>45086.0</v>
      </c>
      <c r="F95" s="5">
        <v>116.0</v>
      </c>
      <c r="G95" s="5">
        <v>3.0</v>
      </c>
      <c r="H95" s="7"/>
      <c r="I95" s="8"/>
      <c r="J95" s="5">
        <v>0.0</v>
      </c>
      <c r="K95" s="5">
        <v>232.0</v>
      </c>
      <c r="L95" s="5">
        <f t="shared" si="5"/>
        <v>232</v>
      </c>
      <c r="M95" s="5">
        <f t="shared" si="4"/>
        <v>0</v>
      </c>
      <c r="N95" s="5"/>
      <c r="O95" s="5"/>
      <c r="P95" s="5"/>
      <c r="Q95" s="5"/>
    </row>
    <row r="96">
      <c r="A96" s="5" t="s">
        <v>179</v>
      </c>
      <c r="B96" s="5" t="s">
        <v>134</v>
      </c>
      <c r="C96" s="5" t="s">
        <v>180</v>
      </c>
      <c r="D96" s="5" t="s">
        <v>181</v>
      </c>
      <c r="E96" s="13">
        <v>45086.0</v>
      </c>
      <c r="F96" s="5">
        <v>18.0</v>
      </c>
      <c r="G96" s="5">
        <v>3.0</v>
      </c>
      <c r="H96" s="7"/>
      <c r="I96" s="8"/>
      <c r="J96" s="5">
        <v>0.0</v>
      </c>
      <c r="K96" s="5">
        <v>36.0</v>
      </c>
      <c r="L96" s="5">
        <f t="shared" si="5"/>
        <v>36</v>
      </c>
      <c r="M96" s="5">
        <f t="shared" si="4"/>
        <v>0</v>
      </c>
      <c r="N96" s="5"/>
      <c r="O96" s="5"/>
      <c r="P96" s="5"/>
      <c r="Q96" s="5"/>
    </row>
    <row r="97">
      <c r="A97" s="5" t="s">
        <v>182</v>
      </c>
      <c r="B97" s="5" t="s">
        <v>32</v>
      </c>
      <c r="C97" s="5">
        <v>501.0</v>
      </c>
      <c r="D97" s="5" t="s">
        <v>183</v>
      </c>
      <c r="E97" s="13">
        <v>45116.0</v>
      </c>
      <c r="F97" s="5">
        <v>266.0</v>
      </c>
      <c r="G97" s="5">
        <v>3.0</v>
      </c>
      <c r="H97" s="7"/>
      <c r="I97" s="8"/>
      <c r="J97" s="5">
        <v>0.0</v>
      </c>
      <c r="K97" s="5">
        <v>532.0</v>
      </c>
      <c r="L97" s="5">
        <f t="shared" si="5"/>
        <v>532</v>
      </c>
      <c r="M97" s="5">
        <f t="shared" si="4"/>
        <v>0</v>
      </c>
      <c r="N97" s="5"/>
      <c r="O97" s="5"/>
      <c r="P97" s="5"/>
      <c r="Q97" s="5"/>
    </row>
    <row r="98">
      <c r="A98" s="5" t="s">
        <v>184</v>
      </c>
      <c r="B98" s="5" t="s">
        <v>134</v>
      </c>
      <c r="C98" s="5">
        <v>46.0</v>
      </c>
      <c r="D98" s="5" t="s">
        <v>168</v>
      </c>
      <c r="E98" s="13">
        <v>45147.0</v>
      </c>
      <c r="F98" s="5">
        <v>53.0</v>
      </c>
      <c r="G98" s="5">
        <v>9.0</v>
      </c>
      <c r="H98" s="7"/>
      <c r="I98" s="8"/>
      <c r="J98" s="5">
        <v>0.0</v>
      </c>
      <c r="K98" s="5">
        <v>106.0</v>
      </c>
      <c r="L98" s="5">
        <f t="shared" si="5"/>
        <v>106</v>
      </c>
      <c r="M98" s="5">
        <f t="shared" si="4"/>
        <v>0</v>
      </c>
      <c r="N98" s="5"/>
      <c r="O98" s="5"/>
      <c r="P98" s="5"/>
      <c r="Q98" s="5"/>
    </row>
    <row r="99">
      <c r="A99" s="14" t="s">
        <v>184</v>
      </c>
      <c r="B99" s="14" t="s">
        <v>134</v>
      </c>
      <c r="C99" s="14" t="s">
        <v>185</v>
      </c>
      <c r="D99" s="14" t="s">
        <v>186</v>
      </c>
      <c r="E99" s="15">
        <v>45147.0</v>
      </c>
      <c r="F99" s="14">
        <v>2.0</v>
      </c>
      <c r="G99" s="14">
        <v>9.0</v>
      </c>
      <c r="H99" s="16"/>
      <c r="I99" s="17"/>
      <c r="J99" s="5">
        <v>0.0</v>
      </c>
      <c r="K99" s="5">
        <v>0.0</v>
      </c>
      <c r="L99" s="5">
        <f t="shared" si="5"/>
        <v>0</v>
      </c>
      <c r="M99" s="5">
        <f t="shared" si="4"/>
        <v>0</v>
      </c>
      <c r="N99" s="5"/>
      <c r="O99" s="5"/>
      <c r="P99" s="5"/>
      <c r="Q99" s="5"/>
    </row>
    <row r="100">
      <c r="A100" s="5" t="s">
        <v>184</v>
      </c>
      <c r="B100" s="5" t="s">
        <v>134</v>
      </c>
      <c r="C100" s="5" t="s">
        <v>187</v>
      </c>
      <c r="D100" s="5" t="s">
        <v>108</v>
      </c>
      <c r="E100" s="13">
        <v>45147.0</v>
      </c>
      <c r="F100" s="5">
        <v>24.0</v>
      </c>
      <c r="G100" s="5">
        <v>9.0</v>
      </c>
      <c r="H100" s="7"/>
      <c r="I100" s="8"/>
      <c r="J100" s="5">
        <v>0.0</v>
      </c>
      <c r="K100" s="5">
        <v>48.0</v>
      </c>
      <c r="L100" s="5">
        <f t="shared" si="5"/>
        <v>48</v>
      </c>
      <c r="M100" s="5">
        <f t="shared" si="4"/>
        <v>0</v>
      </c>
      <c r="N100" s="5"/>
      <c r="O100" s="5"/>
      <c r="P100" s="5"/>
      <c r="Q100" s="5"/>
    </row>
    <row r="101">
      <c r="A101" s="5" t="s">
        <v>188</v>
      </c>
      <c r="B101" s="5" t="s">
        <v>124</v>
      </c>
      <c r="C101" s="5" t="s">
        <v>189</v>
      </c>
      <c r="D101" s="5" t="s">
        <v>110</v>
      </c>
      <c r="E101" s="13">
        <v>45178.0</v>
      </c>
      <c r="F101" s="5">
        <v>48.0</v>
      </c>
      <c r="G101" s="5">
        <v>5.0</v>
      </c>
      <c r="H101" s="7"/>
      <c r="I101" s="8"/>
      <c r="J101" s="5">
        <v>0.0</v>
      </c>
      <c r="K101" s="5">
        <v>96.0</v>
      </c>
      <c r="L101" s="5">
        <f t="shared" si="5"/>
        <v>96</v>
      </c>
      <c r="M101" s="5">
        <f t="shared" si="4"/>
        <v>0</v>
      </c>
      <c r="N101" s="5"/>
      <c r="O101" s="5"/>
      <c r="P101" s="5"/>
      <c r="Q101" s="5"/>
    </row>
    <row r="102">
      <c r="A102" s="14" t="s">
        <v>182</v>
      </c>
      <c r="B102" s="14" t="s">
        <v>124</v>
      </c>
      <c r="C102" s="14" t="s">
        <v>190</v>
      </c>
      <c r="D102" s="14" t="s">
        <v>174</v>
      </c>
      <c r="E102" s="15">
        <v>45178.0</v>
      </c>
      <c r="F102" s="17"/>
      <c r="G102" s="17"/>
      <c r="H102" s="16"/>
      <c r="I102" s="17"/>
      <c r="J102" s="5">
        <v>0.0</v>
      </c>
      <c r="K102" s="5">
        <v>0.0</v>
      </c>
      <c r="L102" s="5">
        <f t="shared" si="5"/>
        <v>0</v>
      </c>
      <c r="M102" s="5">
        <f t="shared" si="4"/>
        <v>0</v>
      </c>
      <c r="N102" s="5"/>
      <c r="O102" s="5"/>
      <c r="P102" s="5"/>
      <c r="Q102" s="5"/>
    </row>
    <row r="103">
      <c r="A103" s="5" t="s">
        <v>191</v>
      </c>
      <c r="B103" s="5" t="s">
        <v>134</v>
      </c>
      <c r="C103" s="5" t="s">
        <v>180</v>
      </c>
      <c r="D103" s="5" t="s">
        <v>92</v>
      </c>
      <c r="E103" s="13">
        <v>45239.0</v>
      </c>
      <c r="F103" s="5">
        <v>169.0</v>
      </c>
      <c r="G103" s="5">
        <v>9.0</v>
      </c>
      <c r="H103" s="7"/>
      <c r="I103" s="8"/>
      <c r="J103" s="5">
        <v>0.0</v>
      </c>
      <c r="K103" s="5">
        <v>338.0</v>
      </c>
      <c r="L103" s="5">
        <f t="shared" si="5"/>
        <v>338</v>
      </c>
      <c r="M103" s="5">
        <f t="shared" si="4"/>
        <v>0</v>
      </c>
      <c r="N103" s="5"/>
      <c r="O103" s="5"/>
      <c r="P103" s="5"/>
      <c r="Q103" s="5"/>
    </row>
    <row r="104">
      <c r="A104" s="5" t="s">
        <v>192</v>
      </c>
      <c r="B104" s="5" t="s">
        <v>134</v>
      </c>
      <c r="C104" s="5" t="s">
        <v>180</v>
      </c>
      <c r="D104" s="5" t="s">
        <v>143</v>
      </c>
      <c r="E104" s="13">
        <v>45239.0</v>
      </c>
      <c r="F104" s="5">
        <v>129.0</v>
      </c>
      <c r="G104" s="5">
        <v>9.0</v>
      </c>
      <c r="H104" s="7"/>
      <c r="I104" s="8"/>
      <c r="J104" s="5">
        <v>0.0</v>
      </c>
      <c r="K104" s="5">
        <v>258.0</v>
      </c>
      <c r="L104" s="5">
        <f t="shared" si="5"/>
        <v>258</v>
      </c>
      <c r="M104" s="5">
        <f t="shared" si="4"/>
        <v>0</v>
      </c>
      <c r="N104" s="5"/>
      <c r="O104" s="5"/>
      <c r="P104" s="5"/>
      <c r="Q104" s="5"/>
    </row>
    <row r="105">
      <c r="A105" s="5" t="s">
        <v>105</v>
      </c>
      <c r="B105" s="5" t="s">
        <v>134</v>
      </c>
      <c r="C105" s="5" t="s">
        <v>193</v>
      </c>
      <c r="D105" s="5" t="s">
        <v>194</v>
      </c>
      <c r="E105" s="13">
        <v>45208.0</v>
      </c>
      <c r="F105" s="5">
        <v>240.0</v>
      </c>
      <c r="G105" s="5">
        <v>9.0</v>
      </c>
      <c r="H105" s="7"/>
      <c r="I105" s="8"/>
      <c r="J105" s="5">
        <v>0.0</v>
      </c>
      <c r="K105" s="5">
        <v>480.0</v>
      </c>
      <c r="L105" s="5">
        <f t="shared" si="5"/>
        <v>-520</v>
      </c>
      <c r="M105" s="5">
        <f t="shared" si="4"/>
        <v>1000</v>
      </c>
      <c r="N105" s="5">
        <v>1000.0</v>
      </c>
      <c r="O105" s="5"/>
      <c r="P105" s="5"/>
      <c r="Q105" s="5"/>
    </row>
    <row r="106">
      <c r="A106" s="5" t="s">
        <v>195</v>
      </c>
      <c r="B106" s="5" t="s">
        <v>134</v>
      </c>
      <c r="C106" s="5">
        <v>11.0</v>
      </c>
      <c r="D106" s="5" t="s">
        <v>138</v>
      </c>
      <c r="E106" s="13">
        <v>45208.0</v>
      </c>
      <c r="F106" s="5">
        <v>8.0</v>
      </c>
      <c r="G106" s="5">
        <v>9.0</v>
      </c>
      <c r="H106" s="7"/>
      <c r="I106" s="8"/>
      <c r="J106" s="5">
        <v>0.0</v>
      </c>
      <c r="K106" s="5">
        <v>16.0</v>
      </c>
      <c r="L106" s="5">
        <f t="shared" si="5"/>
        <v>-221.6</v>
      </c>
      <c r="M106" s="5">
        <f t="shared" si="4"/>
        <v>237.6</v>
      </c>
      <c r="N106" s="5">
        <v>237.6</v>
      </c>
      <c r="O106" s="5"/>
      <c r="P106" s="5"/>
      <c r="Q106" s="5"/>
    </row>
    <row r="107">
      <c r="A107" s="5" t="s">
        <v>30</v>
      </c>
      <c r="B107" s="5" t="s">
        <v>124</v>
      </c>
      <c r="C107" s="5" t="s">
        <v>31</v>
      </c>
      <c r="D107" s="8"/>
      <c r="E107" s="6"/>
      <c r="F107" s="5">
        <v>30.0</v>
      </c>
      <c r="G107" s="5">
        <v>5.0</v>
      </c>
      <c r="H107" s="7"/>
      <c r="I107" s="8"/>
      <c r="J107" s="5">
        <v>0.0</v>
      </c>
      <c r="K107" s="5">
        <v>75.0</v>
      </c>
      <c r="L107" s="5">
        <f t="shared" si="5"/>
        <v>75</v>
      </c>
      <c r="M107" s="5">
        <f t="shared" si="4"/>
        <v>0</v>
      </c>
      <c r="N107" s="5"/>
      <c r="O107" s="5"/>
      <c r="P107" s="5"/>
      <c r="Q107" s="5"/>
    </row>
    <row r="108">
      <c r="A108" s="5" t="s">
        <v>146</v>
      </c>
      <c r="B108" s="5" t="s">
        <v>196</v>
      </c>
      <c r="C108" s="8"/>
      <c r="D108" s="5" t="s">
        <v>55</v>
      </c>
      <c r="E108" s="13">
        <v>45239.0</v>
      </c>
      <c r="F108" s="5">
        <v>5.0</v>
      </c>
      <c r="G108" s="5">
        <v>4.0</v>
      </c>
      <c r="H108" s="7"/>
      <c r="I108" s="8"/>
      <c r="J108" s="5">
        <v>0.0</v>
      </c>
      <c r="K108" s="5">
        <v>10.0</v>
      </c>
      <c r="L108" s="5">
        <f t="shared" si="5"/>
        <v>10</v>
      </c>
      <c r="M108" s="5">
        <f t="shared" si="4"/>
        <v>0</v>
      </c>
      <c r="N108" s="5"/>
      <c r="O108" s="5"/>
      <c r="P108" s="5"/>
      <c r="Q108" s="5"/>
    </row>
    <row r="109">
      <c r="A109" s="5" t="s">
        <v>197</v>
      </c>
      <c r="B109" s="5" t="s">
        <v>124</v>
      </c>
      <c r="C109" s="8"/>
      <c r="D109" s="5" t="s">
        <v>198</v>
      </c>
      <c r="E109" s="13">
        <v>45239.0</v>
      </c>
      <c r="F109" s="5">
        <v>320.0</v>
      </c>
      <c r="G109" s="5">
        <v>5.0</v>
      </c>
      <c r="H109" s="7"/>
      <c r="I109" s="8"/>
      <c r="J109" s="5">
        <v>0.0</v>
      </c>
      <c r="K109" s="5">
        <v>640.0</v>
      </c>
      <c r="L109" s="5">
        <f t="shared" si="5"/>
        <v>640</v>
      </c>
      <c r="M109" s="5">
        <f t="shared" si="4"/>
        <v>0</v>
      </c>
      <c r="N109" s="5"/>
      <c r="O109" s="5"/>
      <c r="P109" s="5"/>
      <c r="Q109" s="5"/>
    </row>
    <row r="110">
      <c r="A110" s="5" t="s">
        <v>199</v>
      </c>
      <c r="B110" s="5" t="s">
        <v>134</v>
      </c>
      <c r="C110" s="5" t="s">
        <v>171</v>
      </c>
      <c r="D110" s="5" t="s">
        <v>200</v>
      </c>
      <c r="E110" s="13">
        <v>45239.0</v>
      </c>
      <c r="F110" s="5">
        <v>24.0</v>
      </c>
      <c r="G110" s="5">
        <v>9.0</v>
      </c>
      <c r="H110" s="7"/>
      <c r="I110" s="8"/>
      <c r="J110" s="5">
        <v>0.0</v>
      </c>
      <c r="K110" s="5">
        <v>42.0</v>
      </c>
      <c r="L110" s="5">
        <f t="shared" si="5"/>
        <v>42</v>
      </c>
      <c r="M110" s="5">
        <f t="shared" si="4"/>
        <v>0</v>
      </c>
      <c r="N110" s="5"/>
      <c r="O110" s="5"/>
      <c r="P110" s="5"/>
      <c r="Q110" s="5"/>
    </row>
    <row r="111">
      <c r="A111" s="5" t="s">
        <v>182</v>
      </c>
      <c r="B111" s="5" t="s">
        <v>32</v>
      </c>
      <c r="C111" s="5" t="s">
        <v>201</v>
      </c>
      <c r="D111" s="5" t="s">
        <v>202</v>
      </c>
      <c r="E111" s="18">
        <v>45239.0</v>
      </c>
      <c r="F111" s="5">
        <v>260.0</v>
      </c>
      <c r="G111" s="5">
        <v>3.0</v>
      </c>
      <c r="H111" s="7"/>
      <c r="I111" s="8"/>
      <c r="J111" s="5">
        <v>0.0</v>
      </c>
      <c r="K111" s="5">
        <v>520.0</v>
      </c>
      <c r="L111" s="5">
        <f t="shared" si="5"/>
        <v>520</v>
      </c>
      <c r="M111" s="5">
        <f t="shared" si="4"/>
        <v>0</v>
      </c>
      <c r="N111" s="5"/>
      <c r="O111" s="5"/>
      <c r="P111" s="5"/>
      <c r="Q111" s="5"/>
    </row>
    <row r="112">
      <c r="A112" s="5" t="s">
        <v>203</v>
      </c>
      <c r="B112" s="5" t="s">
        <v>124</v>
      </c>
      <c r="C112" s="5" t="s">
        <v>204</v>
      </c>
      <c r="D112" s="5" t="s">
        <v>205</v>
      </c>
      <c r="E112" s="13">
        <v>45269.0</v>
      </c>
      <c r="F112" s="5">
        <v>58.0</v>
      </c>
      <c r="G112" s="5">
        <v>3.0</v>
      </c>
      <c r="H112" s="7"/>
      <c r="I112" s="8"/>
      <c r="J112" s="5">
        <v>0.0</v>
      </c>
      <c r="K112" s="5">
        <v>116.0</v>
      </c>
      <c r="L112" s="5">
        <f t="shared" si="5"/>
        <v>116</v>
      </c>
      <c r="M112" s="5">
        <f t="shared" si="4"/>
        <v>0</v>
      </c>
      <c r="N112" s="5"/>
      <c r="O112" s="5"/>
      <c r="P112" s="5"/>
      <c r="Q112" s="5"/>
    </row>
    <row r="113">
      <c r="A113" s="5" t="s">
        <v>206</v>
      </c>
      <c r="B113" s="5" t="s">
        <v>124</v>
      </c>
      <c r="C113" s="5" t="s">
        <v>207</v>
      </c>
      <c r="D113" s="5" t="s">
        <v>208</v>
      </c>
      <c r="E113" s="13">
        <v>45269.0</v>
      </c>
      <c r="F113" s="5">
        <v>63.0</v>
      </c>
      <c r="G113" s="5">
        <v>3.0</v>
      </c>
      <c r="H113" s="7"/>
      <c r="I113" s="8"/>
      <c r="J113" s="5">
        <v>0.0</v>
      </c>
      <c r="K113" s="5">
        <v>126.0</v>
      </c>
      <c r="L113" s="5">
        <f t="shared" si="5"/>
        <v>126</v>
      </c>
      <c r="M113" s="5">
        <f t="shared" si="4"/>
        <v>0</v>
      </c>
      <c r="N113" s="5"/>
      <c r="O113" s="5"/>
      <c r="P113" s="5"/>
      <c r="Q113" s="5"/>
    </row>
    <row r="114">
      <c r="A114" s="5" t="s">
        <v>182</v>
      </c>
      <c r="B114" s="5" t="s">
        <v>134</v>
      </c>
      <c r="C114" s="5" t="s">
        <v>31</v>
      </c>
      <c r="D114" s="8"/>
      <c r="E114" s="13">
        <v>45269.0</v>
      </c>
      <c r="F114" s="5">
        <v>92.0</v>
      </c>
      <c r="G114" s="5">
        <v>9.0</v>
      </c>
      <c r="H114" s="7"/>
      <c r="I114" s="8"/>
      <c r="J114" s="5">
        <v>0.0</v>
      </c>
      <c r="K114" s="5">
        <v>184.0</v>
      </c>
      <c r="L114" s="5">
        <f t="shared" si="5"/>
        <v>184</v>
      </c>
      <c r="M114" s="5">
        <f t="shared" si="4"/>
        <v>0</v>
      </c>
      <c r="N114" s="5"/>
      <c r="O114" s="5"/>
      <c r="P114" s="5"/>
      <c r="Q114" s="5"/>
    </row>
    <row r="115">
      <c r="A115" s="5" t="s">
        <v>182</v>
      </c>
      <c r="B115" s="5" t="s">
        <v>25</v>
      </c>
      <c r="C115" s="5" t="s">
        <v>31</v>
      </c>
      <c r="D115" s="8"/>
      <c r="E115" s="13">
        <v>45269.0</v>
      </c>
      <c r="F115" s="5">
        <v>8.0</v>
      </c>
      <c r="G115" s="5">
        <v>3.0</v>
      </c>
      <c r="H115" s="7"/>
      <c r="I115" s="8"/>
      <c r="J115" s="5">
        <v>0.0</v>
      </c>
      <c r="K115" s="5">
        <v>16.0</v>
      </c>
      <c r="L115" s="5">
        <f t="shared" si="5"/>
        <v>16</v>
      </c>
      <c r="M115" s="5">
        <f t="shared" si="4"/>
        <v>0</v>
      </c>
      <c r="N115" s="5"/>
      <c r="O115" s="5"/>
      <c r="P115" s="5"/>
      <c r="Q115" s="5"/>
    </row>
    <row r="116">
      <c r="A116" s="5" t="s">
        <v>30</v>
      </c>
      <c r="B116" s="5" t="s">
        <v>124</v>
      </c>
      <c r="C116" s="5" t="s">
        <v>31</v>
      </c>
      <c r="D116" s="8"/>
      <c r="E116" s="13">
        <v>45269.0</v>
      </c>
      <c r="F116" s="5">
        <v>8.0</v>
      </c>
      <c r="G116" s="5">
        <v>3.0</v>
      </c>
      <c r="H116" s="7"/>
      <c r="I116" s="8"/>
      <c r="J116" s="5">
        <v>0.0</v>
      </c>
      <c r="K116" s="5">
        <v>20.0</v>
      </c>
      <c r="L116" s="5">
        <f t="shared" si="5"/>
        <v>20</v>
      </c>
      <c r="M116" s="5">
        <f t="shared" si="4"/>
        <v>0</v>
      </c>
      <c r="N116" s="5"/>
      <c r="O116" s="5"/>
      <c r="P116" s="5"/>
      <c r="Q116" s="5"/>
    </row>
    <row r="117">
      <c r="A117" s="5" t="s">
        <v>54</v>
      </c>
      <c r="B117" s="5" t="s">
        <v>209</v>
      </c>
      <c r="C117" s="5" t="s">
        <v>210</v>
      </c>
      <c r="D117" s="5" t="s">
        <v>211</v>
      </c>
      <c r="E117" s="19" t="s">
        <v>212</v>
      </c>
      <c r="F117" s="5">
        <v>149.0</v>
      </c>
      <c r="G117" s="5">
        <v>1.0</v>
      </c>
      <c r="H117" s="7"/>
      <c r="I117" s="5" t="s">
        <v>213</v>
      </c>
      <c r="J117" s="5">
        <v>0.0</v>
      </c>
      <c r="K117" s="5">
        <v>394.0</v>
      </c>
      <c r="L117" s="5">
        <f t="shared" si="5"/>
        <v>394</v>
      </c>
      <c r="M117" s="5">
        <f t="shared" si="4"/>
        <v>0</v>
      </c>
      <c r="N117" s="5"/>
      <c r="O117" s="5"/>
      <c r="P117" s="5"/>
      <c r="Q117" s="5"/>
    </row>
    <row r="118">
      <c r="A118" s="5" t="s">
        <v>81</v>
      </c>
      <c r="B118" s="5" t="s">
        <v>124</v>
      </c>
      <c r="C118" s="5">
        <v>4040.0</v>
      </c>
      <c r="D118" s="5" t="s">
        <v>214</v>
      </c>
      <c r="E118" s="19" t="s">
        <v>212</v>
      </c>
      <c r="F118" s="5">
        <v>34.0</v>
      </c>
      <c r="G118" s="5">
        <v>3.0</v>
      </c>
      <c r="H118" s="7"/>
      <c r="I118" s="8"/>
      <c r="J118" s="5">
        <v>0.0</v>
      </c>
      <c r="K118" s="5">
        <v>68.0</v>
      </c>
      <c r="L118" s="5">
        <f t="shared" si="5"/>
        <v>68</v>
      </c>
      <c r="M118" s="5">
        <f t="shared" si="4"/>
        <v>0</v>
      </c>
      <c r="N118" s="5"/>
      <c r="O118" s="5"/>
      <c r="P118" s="5"/>
      <c r="Q118" s="5"/>
    </row>
    <row r="119">
      <c r="A119" s="5" t="s">
        <v>81</v>
      </c>
      <c r="B119" s="5" t="s">
        <v>134</v>
      </c>
      <c r="C119" s="5" t="s">
        <v>135</v>
      </c>
      <c r="D119" s="5"/>
      <c r="E119" s="19" t="s">
        <v>212</v>
      </c>
      <c r="F119" s="5">
        <v>82.0</v>
      </c>
      <c r="G119" s="5"/>
      <c r="H119" s="7"/>
      <c r="I119" s="8"/>
      <c r="J119" s="5">
        <v>0.0</v>
      </c>
      <c r="K119" s="5">
        <v>164.0</v>
      </c>
      <c r="L119" s="5">
        <f t="shared" si="5"/>
        <v>164</v>
      </c>
      <c r="M119" s="5">
        <v>0.0</v>
      </c>
      <c r="N119" s="5"/>
      <c r="O119" s="5"/>
      <c r="P119" s="5"/>
      <c r="Q119" s="5"/>
    </row>
    <row r="120">
      <c r="A120" s="5" t="s">
        <v>215</v>
      </c>
      <c r="B120" s="5" t="s">
        <v>124</v>
      </c>
      <c r="C120" s="5" t="s">
        <v>125</v>
      </c>
      <c r="D120" s="5" t="s">
        <v>216</v>
      </c>
      <c r="E120" s="19" t="s">
        <v>212</v>
      </c>
      <c r="F120" s="5">
        <v>112.0</v>
      </c>
      <c r="G120" s="5">
        <v>3.0</v>
      </c>
      <c r="H120" s="7"/>
      <c r="I120" s="8"/>
      <c r="J120" s="5">
        <v>0.0</v>
      </c>
      <c r="K120" s="5">
        <v>224.0</v>
      </c>
      <c r="L120" s="5">
        <f t="shared" si="5"/>
        <v>224</v>
      </c>
      <c r="M120" s="5">
        <f t="shared" ref="M120:M284" si="6">sum(N120:Q120)</f>
        <v>0</v>
      </c>
      <c r="N120" s="5"/>
      <c r="O120" s="5"/>
      <c r="P120" s="5"/>
      <c r="Q120" s="5"/>
    </row>
    <row r="121">
      <c r="A121" s="5" t="s">
        <v>182</v>
      </c>
      <c r="B121" s="5" t="s">
        <v>134</v>
      </c>
      <c r="C121" s="5" t="s">
        <v>31</v>
      </c>
      <c r="D121" s="8"/>
      <c r="E121" s="19" t="s">
        <v>212</v>
      </c>
      <c r="F121" s="5">
        <v>23.0</v>
      </c>
      <c r="G121" s="5">
        <v>9.0</v>
      </c>
      <c r="H121" s="7"/>
      <c r="I121" s="8"/>
      <c r="J121" s="5">
        <v>0.0</v>
      </c>
      <c r="K121" s="5">
        <v>46.0</v>
      </c>
      <c r="L121" s="5">
        <f t="shared" si="5"/>
        <v>46</v>
      </c>
      <c r="M121" s="5">
        <f t="shared" si="6"/>
        <v>0</v>
      </c>
      <c r="N121" s="5"/>
      <c r="O121" s="5"/>
      <c r="P121" s="5"/>
      <c r="Q121" s="5"/>
    </row>
    <row r="122">
      <c r="A122" s="5" t="s">
        <v>197</v>
      </c>
      <c r="B122" s="5" t="s">
        <v>124</v>
      </c>
      <c r="C122" s="5" t="s">
        <v>217</v>
      </c>
      <c r="D122" s="8"/>
      <c r="E122" s="6"/>
      <c r="F122" s="5">
        <v>116.0</v>
      </c>
      <c r="G122" s="8"/>
      <c r="H122" s="7"/>
      <c r="I122" s="5" t="s">
        <v>218</v>
      </c>
      <c r="J122" s="5">
        <v>0.0</v>
      </c>
      <c r="K122" s="5">
        <v>1177.4</v>
      </c>
      <c r="L122" s="5">
        <f t="shared" si="5"/>
        <v>1177.4</v>
      </c>
      <c r="M122" s="5">
        <f t="shared" si="6"/>
        <v>0</v>
      </c>
      <c r="N122" s="5"/>
      <c r="O122" s="5"/>
      <c r="P122" s="5"/>
      <c r="Q122" s="5"/>
    </row>
    <row r="123">
      <c r="A123" s="5" t="s">
        <v>197</v>
      </c>
      <c r="B123" s="5" t="s">
        <v>124</v>
      </c>
      <c r="C123" s="5" t="s">
        <v>217</v>
      </c>
      <c r="D123" s="8"/>
      <c r="E123" s="6"/>
      <c r="F123" s="5">
        <v>129.0</v>
      </c>
      <c r="G123" s="8"/>
      <c r="H123" s="7"/>
      <c r="I123" s="5" t="s">
        <v>219</v>
      </c>
      <c r="J123" s="5">
        <v>0.0</v>
      </c>
      <c r="K123" s="5">
        <v>1309.35</v>
      </c>
      <c r="L123" s="5">
        <f t="shared" si="5"/>
        <v>1309.35</v>
      </c>
      <c r="M123" s="5">
        <f t="shared" si="6"/>
        <v>0</v>
      </c>
      <c r="N123" s="5"/>
      <c r="O123" s="5"/>
      <c r="P123" s="5"/>
      <c r="Q123" s="5"/>
    </row>
    <row r="124">
      <c r="A124" s="5" t="s">
        <v>170</v>
      </c>
      <c r="B124" s="5" t="s">
        <v>124</v>
      </c>
      <c r="C124" s="5" t="s">
        <v>220</v>
      </c>
      <c r="D124" s="5" t="s">
        <v>221</v>
      </c>
      <c r="E124" s="19" t="s">
        <v>222</v>
      </c>
      <c r="F124" s="5">
        <v>125.0</v>
      </c>
      <c r="G124" s="8"/>
      <c r="H124" s="7"/>
      <c r="I124" s="8"/>
      <c r="J124" s="5">
        <v>0.0</v>
      </c>
      <c r="K124" s="5">
        <v>250.0</v>
      </c>
      <c r="L124" s="5">
        <f t="shared" si="5"/>
        <v>250</v>
      </c>
      <c r="M124" s="5">
        <f t="shared" si="6"/>
        <v>0</v>
      </c>
      <c r="N124" s="5"/>
      <c r="O124" s="5"/>
      <c r="P124" s="5"/>
      <c r="Q124" s="5"/>
    </row>
    <row r="125">
      <c r="A125" s="5" t="s">
        <v>153</v>
      </c>
      <c r="B125" s="5" t="s">
        <v>134</v>
      </c>
      <c r="C125" s="5" t="s">
        <v>223</v>
      </c>
      <c r="D125" s="5" t="s">
        <v>224</v>
      </c>
      <c r="E125" s="19" t="s">
        <v>225</v>
      </c>
      <c r="F125" s="5">
        <v>42.0</v>
      </c>
      <c r="G125" s="8"/>
      <c r="H125" s="7"/>
      <c r="I125" s="8"/>
      <c r="J125" s="5">
        <v>0.0</v>
      </c>
      <c r="K125" s="5">
        <v>73.5</v>
      </c>
      <c r="L125" s="5">
        <f t="shared" si="5"/>
        <v>73.5</v>
      </c>
      <c r="M125" s="5">
        <f t="shared" si="6"/>
        <v>0</v>
      </c>
      <c r="N125" s="5"/>
      <c r="O125" s="5"/>
      <c r="P125" s="5"/>
      <c r="Q125" s="5"/>
    </row>
    <row r="126">
      <c r="A126" s="5" t="s">
        <v>153</v>
      </c>
      <c r="B126" s="5" t="s">
        <v>134</v>
      </c>
      <c r="C126" s="5" t="s">
        <v>223</v>
      </c>
      <c r="D126" s="5" t="s">
        <v>224</v>
      </c>
      <c r="E126" s="19" t="s">
        <v>225</v>
      </c>
      <c r="F126" s="5">
        <v>44.0</v>
      </c>
      <c r="G126" s="8"/>
      <c r="H126" s="7"/>
      <c r="I126" s="8"/>
      <c r="J126" s="5">
        <v>0.0</v>
      </c>
      <c r="K126" s="5">
        <v>77.0</v>
      </c>
      <c r="L126" s="5">
        <f t="shared" si="5"/>
        <v>-63</v>
      </c>
      <c r="M126" s="5">
        <f t="shared" si="6"/>
        <v>140</v>
      </c>
      <c r="N126" s="5">
        <v>140.0</v>
      </c>
      <c r="O126" s="5"/>
      <c r="P126" s="5"/>
      <c r="Q126" s="5"/>
    </row>
    <row r="127">
      <c r="A127" s="5" t="s">
        <v>226</v>
      </c>
      <c r="B127" s="5" t="s">
        <v>134</v>
      </c>
      <c r="C127" s="5" t="s">
        <v>227</v>
      </c>
      <c r="D127" s="5" t="s">
        <v>205</v>
      </c>
      <c r="E127" s="19" t="s">
        <v>225</v>
      </c>
      <c r="F127" s="5">
        <v>98.0</v>
      </c>
      <c r="G127" s="8"/>
      <c r="H127" s="7"/>
      <c r="I127" s="8"/>
      <c r="J127" s="5">
        <v>0.0</v>
      </c>
      <c r="K127" s="5">
        <v>196.0</v>
      </c>
      <c r="L127" s="5">
        <f t="shared" si="5"/>
        <v>196</v>
      </c>
      <c r="M127" s="5">
        <f t="shared" si="6"/>
        <v>0</v>
      </c>
      <c r="N127" s="5"/>
      <c r="O127" s="5"/>
      <c r="P127" s="5"/>
      <c r="Q127" s="5"/>
    </row>
    <row r="128">
      <c r="A128" s="5" t="s">
        <v>184</v>
      </c>
      <c r="B128" s="5" t="s">
        <v>134</v>
      </c>
      <c r="C128" s="5" t="s">
        <v>180</v>
      </c>
      <c r="D128" s="5" t="s">
        <v>228</v>
      </c>
      <c r="E128" s="19" t="s">
        <v>225</v>
      </c>
      <c r="F128" s="5">
        <v>93.0</v>
      </c>
      <c r="G128" s="8"/>
      <c r="H128" s="7"/>
      <c r="I128" s="8"/>
      <c r="J128" s="5">
        <v>0.0</v>
      </c>
      <c r="K128" s="5">
        <v>186.0</v>
      </c>
      <c r="L128" s="5">
        <f t="shared" si="5"/>
        <v>186</v>
      </c>
      <c r="M128" s="5">
        <f t="shared" si="6"/>
        <v>0</v>
      </c>
      <c r="N128" s="5"/>
      <c r="O128" s="5"/>
      <c r="P128" s="5"/>
      <c r="Q128" s="5"/>
    </row>
    <row r="129">
      <c r="A129" s="5" t="s">
        <v>98</v>
      </c>
      <c r="B129" s="5" t="s">
        <v>25</v>
      </c>
      <c r="C129" s="5" t="s">
        <v>229</v>
      </c>
      <c r="D129" s="5" t="s">
        <v>230</v>
      </c>
      <c r="E129" s="19" t="s">
        <v>231</v>
      </c>
      <c r="F129" s="5">
        <v>5.0</v>
      </c>
      <c r="G129" s="8"/>
      <c r="H129" s="7"/>
      <c r="I129" s="8"/>
      <c r="J129" s="5">
        <v>0.0</v>
      </c>
      <c r="K129" s="5">
        <v>10.0</v>
      </c>
      <c r="L129" s="5">
        <f t="shared" si="5"/>
        <v>10</v>
      </c>
      <c r="M129" s="5">
        <f t="shared" si="6"/>
        <v>0</v>
      </c>
      <c r="N129" s="5"/>
      <c r="O129" s="5"/>
      <c r="P129" s="5"/>
      <c r="Q129" s="5"/>
    </row>
    <row r="130">
      <c r="A130" s="5" t="s">
        <v>98</v>
      </c>
      <c r="B130" s="5" t="s">
        <v>134</v>
      </c>
      <c r="C130" s="5" t="s">
        <v>232</v>
      </c>
      <c r="D130" s="8"/>
      <c r="E130" s="19" t="s">
        <v>231</v>
      </c>
      <c r="F130" s="5">
        <v>74.0</v>
      </c>
      <c r="G130" s="8"/>
      <c r="H130" s="7"/>
      <c r="I130" s="8"/>
      <c r="J130" s="5">
        <v>0.0</v>
      </c>
      <c r="K130" s="5">
        <v>148.0</v>
      </c>
      <c r="L130" s="5">
        <f t="shared" si="5"/>
        <v>148</v>
      </c>
      <c r="M130" s="5">
        <f t="shared" si="6"/>
        <v>0</v>
      </c>
      <c r="N130" s="5"/>
      <c r="O130" s="5"/>
      <c r="P130" s="5"/>
      <c r="Q130" s="5"/>
    </row>
    <row r="131">
      <c r="A131" s="5" t="s">
        <v>182</v>
      </c>
      <c r="B131" s="5" t="s">
        <v>134</v>
      </c>
      <c r="C131" s="5" t="s">
        <v>232</v>
      </c>
      <c r="D131" s="8"/>
      <c r="E131" s="19" t="s">
        <v>222</v>
      </c>
      <c r="F131" s="5">
        <v>11.0</v>
      </c>
      <c r="G131" s="8"/>
      <c r="H131" s="7"/>
      <c r="I131" s="8"/>
      <c r="J131" s="5">
        <v>0.0</v>
      </c>
      <c r="K131" s="5">
        <v>22.0</v>
      </c>
      <c r="L131" s="5">
        <f t="shared" si="5"/>
        <v>22</v>
      </c>
      <c r="M131" s="5">
        <f t="shared" si="6"/>
        <v>0</v>
      </c>
      <c r="N131" s="5"/>
      <c r="O131" s="5"/>
      <c r="P131" s="5"/>
      <c r="Q131" s="5"/>
    </row>
    <row r="132">
      <c r="A132" s="5" t="s">
        <v>182</v>
      </c>
      <c r="B132" s="5" t="s">
        <v>134</v>
      </c>
      <c r="C132" s="5" t="s">
        <v>232</v>
      </c>
      <c r="D132" s="8"/>
      <c r="E132" s="19" t="s">
        <v>233</v>
      </c>
      <c r="F132" s="5">
        <v>74.0</v>
      </c>
      <c r="G132" s="8"/>
      <c r="H132" s="7"/>
      <c r="I132" s="8"/>
      <c r="J132" s="5">
        <v>0.0</v>
      </c>
      <c r="K132" s="5">
        <v>148.0</v>
      </c>
      <c r="L132" s="5">
        <f t="shared" si="5"/>
        <v>148</v>
      </c>
      <c r="M132" s="5">
        <f t="shared" si="6"/>
        <v>0</v>
      </c>
      <c r="N132" s="5"/>
      <c r="O132" s="5"/>
      <c r="P132" s="5"/>
      <c r="Q132" s="5"/>
    </row>
    <row r="133">
      <c r="A133" s="5" t="s">
        <v>182</v>
      </c>
      <c r="B133" s="5" t="s">
        <v>134</v>
      </c>
      <c r="C133" s="5" t="s">
        <v>232</v>
      </c>
      <c r="D133" s="8"/>
      <c r="E133" s="19" t="s">
        <v>234</v>
      </c>
      <c r="F133" s="5">
        <v>40.0</v>
      </c>
      <c r="G133" s="8"/>
      <c r="H133" s="7"/>
      <c r="I133" s="8"/>
      <c r="J133" s="5">
        <v>0.0</v>
      </c>
      <c r="K133" s="5">
        <v>80.0</v>
      </c>
      <c r="L133" s="5">
        <f t="shared" si="5"/>
        <v>80</v>
      </c>
      <c r="M133" s="5">
        <f t="shared" si="6"/>
        <v>0</v>
      </c>
      <c r="N133" s="5"/>
      <c r="O133" s="5"/>
      <c r="P133" s="5"/>
      <c r="Q133" s="5"/>
    </row>
    <row r="134">
      <c r="A134" s="5" t="s">
        <v>235</v>
      </c>
      <c r="B134" s="5" t="s">
        <v>134</v>
      </c>
      <c r="C134" s="5" t="s">
        <v>180</v>
      </c>
      <c r="D134" s="5" t="s">
        <v>236</v>
      </c>
      <c r="E134" s="19" t="s">
        <v>234</v>
      </c>
      <c r="F134" s="5">
        <v>165.0</v>
      </c>
      <c r="G134" s="5">
        <v>9.0</v>
      </c>
      <c r="H134" s="7"/>
      <c r="I134" s="8"/>
      <c r="J134" s="5">
        <v>0.0</v>
      </c>
      <c r="K134" s="5">
        <v>330.0</v>
      </c>
      <c r="L134" s="5">
        <f t="shared" si="5"/>
        <v>330</v>
      </c>
      <c r="M134" s="5">
        <f t="shared" si="6"/>
        <v>0</v>
      </c>
      <c r="N134" s="5"/>
      <c r="O134" s="5"/>
      <c r="P134" s="5"/>
      <c r="Q134" s="5"/>
    </row>
    <row r="135">
      <c r="A135" s="5" t="s">
        <v>98</v>
      </c>
      <c r="B135" s="5" t="s">
        <v>134</v>
      </c>
      <c r="C135" s="5" t="s">
        <v>237</v>
      </c>
      <c r="D135" s="8"/>
      <c r="E135" s="19" t="s">
        <v>233</v>
      </c>
      <c r="F135" s="5">
        <v>72.0</v>
      </c>
      <c r="G135" s="8"/>
      <c r="H135" s="7"/>
      <c r="I135" s="8"/>
      <c r="J135" s="5">
        <v>0.0</v>
      </c>
      <c r="K135" s="5">
        <v>144.0</v>
      </c>
      <c r="L135" s="5">
        <f t="shared" si="5"/>
        <v>144</v>
      </c>
      <c r="M135" s="5">
        <f t="shared" si="6"/>
        <v>0</v>
      </c>
      <c r="N135" s="5"/>
      <c r="O135" s="5"/>
      <c r="P135" s="5"/>
      <c r="Q135" s="5"/>
    </row>
    <row r="136">
      <c r="A136" s="5" t="s">
        <v>238</v>
      </c>
      <c r="B136" s="5" t="s">
        <v>124</v>
      </c>
      <c r="C136" s="5" t="s">
        <v>31</v>
      </c>
      <c r="D136" s="8"/>
      <c r="E136" s="19" t="s">
        <v>233</v>
      </c>
      <c r="F136" s="5">
        <v>55.0</v>
      </c>
      <c r="G136" s="5">
        <v>3.0</v>
      </c>
      <c r="H136" s="7"/>
      <c r="I136" s="8"/>
      <c r="J136" s="5">
        <v>0.0</v>
      </c>
      <c r="K136" s="5">
        <v>110.0</v>
      </c>
      <c r="L136" s="5">
        <f t="shared" si="5"/>
        <v>110</v>
      </c>
      <c r="M136" s="5">
        <f t="shared" si="6"/>
        <v>0</v>
      </c>
      <c r="N136" s="5"/>
      <c r="O136" s="5"/>
      <c r="P136" s="5"/>
      <c r="Q136" s="5"/>
    </row>
    <row r="137">
      <c r="A137" s="5" t="s">
        <v>121</v>
      </c>
      <c r="B137" s="5" t="s">
        <v>134</v>
      </c>
      <c r="C137" s="5" t="s">
        <v>239</v>
      </c>
      <c r="D137" s="5" t="s">
        <v>240</v>
      </c>
      <c r="E137" s="19" t="s">
        <v>233</v>
      </c>
      <c r="F137" s="5">
        <v>143.0</v>
      </c>
      <c r="G137" s="8"/>
      <c r="H137" s="7"/>
      <c r="I137" s="8"/>
      <c r="J137" s="5">
        <v>0.0</v>
      </c>
      <c r="K137" s="5">
        <v>286.0</v>
      </c>
      <c r="L137" s="5">
        <f t="shared" si="5"/>
        <v>286</v>
      </c>
      <c r="M137" s="5">
        <f t="shared" si="6"/>
        <v>0</v>
      </c>
      <c r="N137" s="5"/>
      <c r="O137" s="5"/>
      <c r="P137" s="5"/>
      <c r="Q137" s="5"/>
    </row>
    <row r="138">
      <c r="A138" s="5" t="s">
        <v>98</v>
      </c>
      <c r="B138" s="5" t="s">
        <v>124</v>
      </c>
      <c r="C138" s="5" t="s">
        <v>241</v>
      </c>
      <c r="D138" s="5" t="s">
        <v>236</v>
      </c>
      <c r="E138" s="19" t="s">
        <v>242</v>
      </c>
      <c r="F138" s="5">
        <v>5.0</v>
      </c>
      <c r="G138" s="5">
        <v>3.0</v>
      </c>
      <c r="H138" s="7"/>
      <c r="I138" s="8"/>
      <c r="J138" s="5">
        <v>0.0</v>
      </c>
      <c r="K138" s="5">
        <v>10.0</v>
      </c>
      <c r="L138" s="5">
        <f t="shared" si="5"/>
        <v>10</v>
      </c>
      <c r="M138" s="5">
        <f t="shared" si="6"/>
        <v>0</v>
      </c>
      <c r="N138" s="5"/>
      <c r="O138" s="5"/>
      <c r="P138" s="5"/>
      <c r="Q138" s="5"/>
    </row>
    <row r="139">
      <c r="A139" s="5" t="s">
        <v>98</v>
      </c>
      <c r="B139" s="5" t="s">
        <v>124</v>
      </c>
      <c r="C139" s="5" t="s">
        <v>31</v>
      </c>
      <c r="D139" s="8"/>
      <c r="E139" s="19" t="s">
        <v>243</v>
      </c>
      <c r="F139" s="5">
        <v>3.0</v>
      </c>
      <c r="G139" s="5">
        <v>3.0</v>
      </c>
      <c r="H139" s="7"/>
      <c r="I139" s="8"/>
      <c r="J139" s="5">
        <v>0.0</v>
      </c>
      <c r="K139" s="5">
        <v>6.0</v>
      </c>
      <c r="L139" s="5">
        <f t="shared" si="5"/>
        <v>6</v>
      </c>
      <c r="M139" s="5">
        <f t="shared" si="6"/>
        <v>0</v>
      </c>
      <c r="N139" s="5"/>
      <c r="O139" s="5"/>
      <c r="P139" s="5"/>
      <c r="Q139" s="5"/>
    </row>
    <row r="140">
      <c r="A140" s="5" t="s">
        <v>98</v>
      </c>
      <c r="B140" s="5" t="s">
        <v>124</v>
      </c>
      <c r="C140" s="5" t="s">
        <v>244</v>
      </c>
      <c r="D140" s="8"/>
      <c r="E140" s="19" t="s">
        <v>245</v>
      </c>
      <c r="F140" s="5">
        <v>13.0</v>
      </c>
      <c r="G140" s="5">
        <v>3.0</v>
      </c>
      <c r="H140" s="7"/>
      <c r="I140" s="8"/>
      <c r="J140" s="5">
        <v>0.0</v>
      </c>
      <c r="K140" s="5">
        <v>26.0</v>
      </c>
      <c r="L140" s="5">
        <f t="shared" si="5"/>
        <v>26</v>
      </c>
      <c r="M140" s="5">
        <f t="shared" si="6"/>
        <v>0</v>
      </c>
      <c r="N140" s="5"/>
      <c r="O140" s="5"/>
      <c r="P140" s="5"/>
      <c r="Q140" s="5"/>
    </row>
    <row r="141">
      <c r="A141" s="5" t="s">
        <v>98</v>
      </c>
      <c r="B141" s="5" t="s">
        <v>124</v>
      </c>
      <c r="C141" s="5" t="s">
        <v>246</v>
      </c>
      <c r="D141" s="8"/>
      <c r="E141" s="19" t="s">
        <v>247</v>
      </c>
      <c r="F141" s="5">
        <v>13.0</v>
      </c>
      <c r="G141" s="5">
        <v>3.0</v>
      </c>
      <c r="H141" s="7"/>
      <c r="I141" s="8"/>
      <c r="J141" s="5">
        <v>0.0</v>
      </c>
      <c r="K141" s="5">
        <v>26.0</v>
      </c>
      <c r="L141" s="5">
        <f t="shared" si="5"/>
        <v>26</v>
      </c>
      <c r="M141" s="5">
        <f t="shared" si="6"/>
        <v>0</v>
      </c>
      <c r="N141" s="5"/>
      <c r="O141" s="5"/>
      <c r="P141" s="5"/>
      <c r="Q141" s="5"/>
    </row>
    <row r="142">
      <c r="A142" s="5" t="s">
        <v>197</v>
      </c>
      <c r="B142" s="5" t="s">
        <v>124</v>
      </c>
      <c r="C142" s="5" t="s">
        <v>217</v>
      </c>
      <c r="D142" s="8"/>
      <c r="E142" s="19" t="s">
        <v>234</v>
      </c>
      <c r="F142" s="5">
        <v>190.0</v>
      </c>
      <c r="G142" s="8"/>
      <c r="H142" s="7"/>
      <c r="I142" s="8"/>
      <c r="J142" s="5">
        <v>0.0</v>
      </c>
      <c r="K142" s="5">
        <v>1928.5</v>
      </c>
      <c r="L142" s="5">
        <f t="shared" si="5"/>
        <v>1928.5</v>
      </c>
      <c r="M142" s="5">
        <f t="shared" si="6"/>
        <v>0</v>
      </c>
      <c r="N142" s="5"/>
      <c r="O142" s="5"/>
      <c r="P142" s="5"/>
      <c r="Q142" s="5"/>
    </row>
    <row r="143">
      <c r="A143" s="5" t="s">
        <v>182</v>
      </c>
      <c r="B143" s="5" t="s">
        <v>134</v>
      </c>
      <c r="C143" s="5" t="s">
        <v>31</v>
      </c>
      <c r="D143" s="8"/>
      <c r="E143" s="19" t="s">
        <v>248</v>
      </c>
      <c r="F143" s="5">
        <v>55.0</v>
      </c>
      <c r="G143" s="5" t="s">
        <v>249</v>
      </c>
      <c r="H143" s="7"/>
      <c r="I143" s="8"/>
      <c r="J143" s="5">
        <v>0.0</v>
      </c>
      <c r="K143" s="5">
        <v>110.0</v>
      </c>
      <c r="L143" s="5">
        <f t="shared" si="5"/>
        <v>110</v>
      </c>
      <c r="M143" s="5">
        <f t="shared" si="6"/>
        <v>0</v>
      </c>
      <c r="N143" s="5"/>
      <c r="O143" s="5"/>
      <c r="P143" s="5"/>
      <c r="Q143" s="5"/>
    </row>
    <row r="144">
      <c r="A144" s="5" t="s">
        <v>250</v>
      </c>
      <c r="B144" s="5" t="s">
        <v>134</v>
      </c>
      <c r="C144" s="5" t="s">
        <v>237</v>
      </c>
      <c r="D144" s="8"/>
      <c r="E144" s="19" t="s">
        <v>248</v>
      </c>
      <c r="F144" s="5">
        <v>140.0</v>
      </c>
      <c r="G144" s="8"/>
      <c r="H144" s="7"/>
      <c r="I144" s="8"/>
      <c r="J144" s="5">
        <v>0.0</v>
      </c>
      <c r="K144" s="5">
        <v>280.0</v>
      </c>
      <c r="L144" s="5">
        <f t="shared" si="5"/>
        <v>280</v>
      </c>
      <c r="M144" s="5">
        <f t="shared" si="6"/>
        <v>0</v>
      </c>
      <c r="N144" s="5"/>
      <c r="O144" s="5"/>
      <c r="P144" s="5"/>
      <c r="Q144" s="5"/>
    </row>
    <row r="145">
      <c r="A145" s="5" t="s">
        <v>54</v>
      </c>
      <c r="B145" s="5" t="s">
        <v>251</v>
      </c>
      <c r="C145" s="5" t="s">
        <v>120</v>
      </c>
      <c r="D145" s="8"/>
      <c r="E145" s="19" t="s">
        <v>248</v>
      </c>
      <c r="F145" s="5">
        <v>225.0</v>
      </c>
      <c r="G145" s="5">
        <v>1.0</v>
      </c>
      <c r="H145" s="7"/>
      <c r="I145" s="8"/>
      <c r="J145" s="5">
        <v>0.0</v>
      </c>
      <c r="K145" s="5">
        <v>0.0</v>
      </c>
      <c r="L145" s="5">
        <f t="shared" si="5"/>
        <v>0</v>
      </c>
      <c r="M145" s="5">
        <f t="shared" si="6"/>
        <v>0</v>
      </c>
      <c r="N145" s="5"/>
      <c r="O145" s="5"/>
      <c r="P145" s="5"/>
      <c r="Q145" s="5"/>
    </row>
    <row r="146">
      <c r="A146" s="5" t="s">
        <v>30</v>
      </c>
      <c r="B146" s="5" t="s">
        <v>25</v>
      </c>
      <c r="C146" s="20" t="s">
        <v>252</v>
      </c>
      <c r="D146" s="5" t="s">
        <v>253</v>
      </c>
      <c r="E146" s="19" t="s">
        <v>248</v>
      </c>
      <c r="F146" s="5">
        <v>24.0</v>
      </c>
      <c r="G146" s="5">
        <v>4.0</v>
      </c>
      <c r="H146" s="7"/>
      <c r="I146" s="8"/>
      <c r="J146" s="5">
        <v>0.0</v>
      </c>
      <c r="K146" s="5">
        <v>48.0</v>
      </c>
      <c r="L146" s="5">
        <f t="shared" si="5"/>
        <v>48</v>
      </c>
      <c r="M146" s="5">
        <f t="shared" si="6"/>
        <v>0</v>
      </c>
      <c r="N146" s="5"/>
      <c r="O146" s="5"/>
      <c r="P146" s="5"/>
      <c r="Q146" s="5"/>
    </row>
    <row r="147">
      <c r="A147" s="5" t="s">
        <v>195</v>
      </c>
      <c r="B147" s="5" t="s">
        <v>134</v>
      </c>
      <c r="C147" s="20" t="s">
        <v>254</v>
      </c>
      <c r="D147" s="5" t="s">
        <v>236</v>
      </c>
      <c r="E147" s="19" t="s">
        <v>248</v>
      </c>
      <c r="F147" s="5">
        <v>8.0</v>
      </c>
      <c r="G147" s="8"/>
      <c r="H147" s="7"/>
      <c r="I147" s="8"/>
      <c r="J147" s="5">
        <v>0.0</v>
      </c>
      <c r="K147" s="5">
        <v>16.0</v>
      </c>
      <c r="L147" s="5">
        <f t="shared" si="5"/>
        <v>16</v>
      </c>
      <c r="M147" s="5">
        <f t="shared" si="6"/>
        <v>0</v>
      </c>
      <c r="N147" s="5"/>
      <c r="O147" s="5"/>
      <c r="P147" s="5"/>
      <c r="Q147" s="5"/>
    </row>
    <row r="148">
      <c r="A148" s="5" t="s">
        <v>17</v>
      </c>
      <c r="B148" s="5" t="s">
        <v>124</v>
      </c>
      <c r="C148" s="21" t="s">
        <v>255</v>
      </c>
      <c r="D148" s="5" t="s">
        <v>256</v>
      </c>
      <c r="E148" s="19" t="s">
        <v>257</v>
      </c>
      <c r="F148" s="5">
        <v>170.0</v>
      </c>
      <c r="G148" s="5">
        <v>10.0</v>
      </c>
      <c r="H148" s="7"/>
      <c r="I148" s="8"/>
      <c r="J148" s="5">
        <v>0.0</v>
      </c>
      <c r="K148" s="5">
        <v>340.0</v>
      </c>
      <c r="L148" s="5">
        <f t="shared" si="5"/>
        <v>340</v>
      </c>
      <c r="M148" s="5">
        <f t="shared" si="6"/>
        <v>0</v>
      </c>
      <c r="N148" s="5"/>
      <c r="O148" s="5"/>
      <c r="P148" s="5"/>
      <c r="Q148" s="5"/>
    </row>
    <row r="149">
      <c r="A149" s="22" t="s">
        <v>81</v>
      </c>
      <c r="B149" s="5" t="s">
        <v>124</v>
      </c>
      <c r="C149" s="5" t="s">
        <v>185</v>
      </c>
      <c r="D149" s="5" t="s">
        <v>228</v>
      </c>
      <c r="E149" s="19" t="s">
        <v>257</v>
      </c>
      <c r="F149" s="5">
        <v>54.0</v>
      </c>
      <c r="G149" s="5">
        <v>10.0</v>
      </c>
      <c r="H149" s="7"/>
      <c r="I149" s="8"/>
      <c r="J149" s="5">
        <v>0.0</v>
      </c>
      <c r="K149" s="5">
        <v>108.0</v>
      </c>
      <c r="L149" s="5">
        <f t="shared" si="5"/>
        <v>108</v>
      </c>
      <c r="M149" s="5">
        <f t="shared" si="6"/>
        <v>0</v>
      </c>
      <c r="N149" s="5"/>
      <c r="O149" s="5"/>
      <c r="P149" s="5"/>
      <c r="Q149" s="5"/>
    </row>
    <row r="150">
      <c r="A150" s="22" t="s">
        <v>81</v>
      </c>
      <c r="B150" s="5" t="s">
        <v>124</v>
      </c>
      <c r="C150" s="5" t="s">
        <v>258</v>
      </c>
      <c r="D150" s="5" t="s">
        <v>211</v>
      </c>
      <c r="E150" s="19" t="s">
        <v>257</v>
      </c>
      <c r="F150" s="5">
        <v>15.0</v>
      </c>
      <c r="G150" s="5">
        <v>10.0</v>
      </c>
      <c r="H150" s="7"/>
      <c r="I150" s="8"/>
      <c r="J150" s="5">
        <v>0.0</v>
      </c>
      <c r="K150" s="5">
        <v>30.0</v>
      </c>
      <c r="L150" s="5">
        <f t="shared" si="5"/>
        <v>30</v>
      </c>
      <c r="M150" s="5">
        <f t="shared" si="6"/>
        <v>0</v>
      </c>
      <c r="N150" s="5"/>
      <c r="O150" s="5"/>
      <c r="P150" s="5"/>
      <c r="Q150" s="5"/>
    </row>
    <row r="151">
      <c r="A151" s="22" t="s">
        <v>259</v>
      </c>
      <c r="B151" s="5" t="s">
        <v>134</v>
      </c>
      <c r="C151" s="8"/>
      <c r="D151" s="5" t="s">
        <v>208</v>
      </c>
      <c r="E151" s="19" t="s">
        <v>257</v>
      </c>
      <c r="F151" s="5">
        <v>63.0</v>
      </c>
      <c r="G151" s="5">
        <v>9.0</v>
      </c>
      <c r="H151" s="7"/>
      <c r="I151" s="8"/>
      <c r="J151" s="5">
        <v>0.0</v>
      </c>
      <c r="K151" s="5">
        <v>126.0</v>
      </c>
      <c r="L151" s="5">
        <f t="shared" si="5"/>
        <v>126</v>
      </c>
      <c r="M151" s="5">
        <f t="shared" si="6"/>
        <v>0</v>
      </c>
      <c r="N151" s="5"/>
      <c r="O151" s="5"/>
      <c r="P151" s="5"/>
      <c r="Q151" s="5"/>
    </row>
    <row r="152">
      <c r="A152" s="5" t="s">
        <v>260</v>
      </c>
      <c r="B152" s="5" t="s">
        <v>134</v>
      </c>
      <c r="C152" s="5" t="s">
        <v>261</v>
      </c>
      <c r="D152" s="5" t="s">
        <v>262</v>
      </c>
      <c r="E152" s="19" t="s">
        <v>257</v>
      </c>
      <c r="F152" s="5">
        <v>140.0</v>
      </c>
      <c r="G152" s="8"/>
      <c r="H152" s="7"/>
      <c r="I152" s="8"/>
      <c r="J152" s="5">
        <v>0.0</v>
      </c>
      <c r="K152" s="5">
        <v>280.0</v>
      </c>
      <c r="L152" s="5">
        <f t="shared" si="5"/>
        <v>280</v>
      </c>
      <c r="M152" s="5">
        <f t="shared" si="6"/>
        <v>0</v>
      </c>
      <c r="N152" s="5"/>
      <c r="O152" s="5"/>
      <c r="P152" s="5"/>
      <c r="Q152" s="5"/>
    </row>
    <row r="153">
      <c r="A153" s="5" t="s">
        <v>182</v>
      </c>
      <c r="B153" s="5" t="s">
        <v>134</v>
      </c>
      <c r="C153" s="5" t="s">
        <v>31</v>
      </c>
      <c r="D153" s="8"/>
      <c r="E153" s="19" t="s">
        <v>257</v>
      </c>
      <c r="F153" s="5">
        <v>13.0</v>
      </c>
      <c r="G153" s="5">
        <v>4.0</v>
      </c>
      <c r="H153" s="7"/>
      <c r="I153" s="8"/>
      <c r="J153" s="5">
        <v>0.0</v>
      </c>
      <c r="K153" s="5">
        <v>26.0</v>
      </c>
      <c r="L153" s="5">
        <f t="shared" si="5"/>
        <v>26</v>
      </c>
      <c r="M153" s="5">
        <f t="shared" si="6"/>
        <v>0</v>
      </c>
      <c r="N153" s="5"/>
      <c r="O153" s="5"/>
      <c r="P153" s="5"/>
      <c r="Q153" s="5"/>
    </row>
    <row r="154">
      <c r="A154" s="5" t="s">
        <v>182</v>
      </c>
      <c r="B154" s="5" t="s">
        <v>124</v>
      </c>
      <c r="C154" s="5" t="s">
        <v>31</v>
      </c>
      <c r="D154" s="8"/>
      <c r="E154" s="19" t="s">
        <v>263</v>
      </c>
      <c r="F154" s="5">
        <v>10.0</v>
      </c>
      <c r="G154" s="5">
        <v>10.0</v>
      </c>
      <c r="H154" s="7"/>
      <c r="I154" s="8"/>
      <c r="J154" s="5">
        <v>0.0</v>
      </c>
      <c r="K154" s="5">
        <v>20.0</v>
      </c>
      <c r="L154" s="5">
        <f t="shared" si="5"/>
        <v>20</v>
      </c>
      <c r="M154" s="5">
        <f t="shared" si="6"/>
        <v>0</v>
      </c>
      <c r="N154" s="5"/>
      <c r="O154" s="5"/>
      <c r="P154" s="5"/>
      <c r="Q154" s="5"/>
    </row>
    <row r="155">
      <c r="A155" s="5" t="s">
        <v>264</v>
      </c>
      <c r="B155" s="5" t="s">
        <v>124</v>
      </c>
      <c r="C155" s="5" t="s">
        <v>217</v>
      </c>
      <c r="D155" s="8"/>
      <c r="E155" s="19" t="s">
        <v>265</v>
      </c>
      <c r="F155" s="5">
        <v>59.0</v>
      </c>
      <c r="G155" s="8"/>
      <c r="H155" s="7"/>
      <c r="I155" s="8"/>
      <c r="J155" s="5">
        <v>0.0</v>
      </c>
      <c r="K155" s="5">
        <v>118.0</v>
      </c>
      <c r="L155" s="5">
        <f t="shared" si="5"/>
        <v>118</v>
      </c>
      <c r="M155" s="5">
        <f t="shared" si="6"/>
        <v>0</v>
      </c>
      <c r="N155" s="5"/>
      <c r="O155" s="5"/>
      <c r="P155" s="5"/>
      <c r="Q155" s="5"/>
    </row>
    <row r="156">
      <c r="A156" s="5" t="s">
        <v>121</v>
      </c>
      <c r="B156" s="5" t="s">
        <v>25</v>
      </c>
      <c r="C156" s="5" t="s">
        <v>229</v>
      </c>
      <c r="D156" s="5" t="s">
        <v>266</v>
      </c>
      <c r="E156" s="19" t="s">
        <v>265</v>
      </c>
      <c r="F156" s="5">
        <v>47.0</v>
      </c>
      <c r="G156" s="5">
        <v>7.0</v>
      </c>
      <c r="H156" s="7"/>
      <c r="I156" s="8"/>
      <c r="J156" s="5">
        <v>0.0</v>
      </c>
      <c r="K156" s="5">
        <v>94.0</v>
      </c>
      <c r="L156" s="5">
        <f t="shared" si="5"/>
        <v>94</v>
      </c>
      <c r="M156" s="5">
        <f t="shared" si="6"/>
        <v>0</v>
      </c>
      <c r="N156" s="5"/>
      <c r="O156" s="5"/>
      <c r="P156" s="5"/>
      <c r="Q156" s="5"/>
    </row>
    <row r="157">
      <c r="A157" s="5" t="s">
        <v>121</v>
      </c>
      <c r="B157" s="5" t="s">
        <v>25</v>
      </c>
      <c r="C157" s="5" t="s">
        <v>267</v>
      </c>
      <c r="D157" s="5" t="s">
        <v>268</v>
      </c>
      <c r="E157" s="19" t="s">
        <v>265</v>
      </c>
      <c r="F157" s="5">
        <v>25.0</v>
      </c>
      <c r="G157" s="5">
        <v>7.0</v>
      </c>
      <c r="H157" s="7"/>
      <c r="I157" s="5" t="s">
        <v>269</v>
      </c>
      <c r="J157" s="5">
        <v>0.0</v>
      </c>
      <c r="K157" s="5">
        <v>250.0</v>
      </c>
      <c r="L157" s="5">
        <f t="shared" si="5"/>
        <v>250</v>
      </c>
      <c r="M157" s="5">
        <f t="shared" si="6"/>
        <v>0</v>
      </c>
      <c r="N157" s="5"/>
      <c r="O157" s="5"/>
      <c r="P157" s="5"/>
      <c r="Q157" s="5"/>
    </row>
    <row r="158">
      <c r="A158" s="5" t="s">
        <v>98</v>
      </c>
      <c r="B158" s="5" t="s">
        <v>270</v>
      </c>
      <c r="C158" s="5" t="s">
        <v>31</v>
      </c>
      <c r="D158" s="8"/>
      <c r="E158" s="19" t="s">
        <v>265</v>
      </c>
      <c r="F158" s="5">
        <v>97.0</v>
      </c>
      <c r="G158" s="5">
        <v>7.0</v>
      </c>
      <c r="H158" s="7"/>
      <c r="I158" s="8"/>
      <c r="J158" s="5">
        <v>0.0</v>
      </c>
      <c r="K158" s="5">
        <v>170.0</v>
      </c>
      <c r="L158" s="5">
        <f t="shared" si="5"/>
        <v>170</v>
      </c>
      <c r="M158" s="5">
        <f t="shared" si="6"/>
        <v>0</v>
      </c>
      <c r="N158" s="5"/>
      <c r="O158" s="5"/>
      <c r="P158" s="5"/>
      <c r="Q158" s="5"/>
    </row>
    <row r="159">
      <c r="A159" s="5" t="s">
        <v>271</v>
      </c>
      <c r="B159" s="5" t="s">
        <v>124</v>
      </c>
      <c r="C159" s="5" t="s">
        <v>125</v>
      </c>
      <c r="D159" s="8"/>
      <c r="E159" s="19" t="s">
        <v>272</v>
      </c>
      <c r="F159" s="5">
        <v>150.0</v>
      </c>
      <c r="G159" s="5">
        <v>10.0</v>
      </c>
      <c r="H159" s="7"/>
      <c r="I159" s="8"/>
      <c r="J159" s="5">
        <v>0.0</v>
      </c>
      <c r="K159" s="5">
        <v>300.0</v>
      </c>
      <c r="L159" s="5">
        <f t="shared" si="5"/>
        <v>300</v>
      </c>
      <c r="M159" s="5">
        <f t="shared" si="6"/>
        <v>0</v>
      </c>
      <c r="N159" s="5"/>
      <c r="O159" s="5"/>
      <c r="P159" s="5"/>
      <c r="Q159" s="5"/>
    </row>
    <row r="160">
      <c r="A160" s="5" t="s">
        <v>197</v>
      </c>
      <c r="B160" s="5" t="s">
        <v>124</v>
      </c>
      <c r="C160" s="5" t="s">
        <v>217</v>
      </c>
      <c r="D160" s="8"/>
      <c r="E160" s="19" t="s">
        <v>273</v>
      </c>
      <c r="F160" s="5">
        <v>150.0</v>
      </c>
      <c r="G160" s="8"/>
      <c r="H160" s="7"/>
      <c r="I160" s="8"/>
      <c r="J160" s="5">
        <v>0.0</v>
      </c>
      <c r="K160" s="5">
        <v>1522.5</v>
      </c>
      <c r="L160" s="5">
        <f t="shared" si="5"/>
        <v>1522.5</v>
      </c>
      <c r="M160" s="5">
        <f t="shared" si="6"/>
        <v>0</v>
      </c>
      <c r="N160" s="5"/>
      <c r="O160" s="5"/>
      <c r="P160" s="5"/>
      <c r="Q160" s="5"/>
    </row>
    <row r="161">
      <c r="A161" s="5" t="s">
        <v>271</v>
      </c>
      <c r="B161" s="5" t="s">
        <v>124</v>
      </c>
      <c r="C161" s="5" t="s">
        <v>274</v>
      </c>
      <c r="D161" s="5" t="s">
        <v>236</v>
      </c>
      <c r="E161" s="19" t="s">
        <v>275</v>
      </c>
      <c r="F161" s="5">
        <v>5.0</v>
      </c>
      <c r="G161" s="5">
        <v>10.0</v>
      </c>
      <c r="H161" s="7"/>
      <c r="I161" s="8"/>
      <c r="J161" s="5">
        <v>0.0</v>
      </c>
      <c r="K161" s="5">
        <v>10.0</v>
      </c>
      <c r="L161" s="5">
        <f t="shared" si="5"/>
        <v>10</v>
      </c>
      <c r="M161" s="5">
        <f t="shared" si="6"/>
        <v>0</v>
      </c>
      <c r="N161" s="5"/>
      <c r="O161" s="5"/>
      <c r="P161" s="5"/>
      <c r="Q161" s="5"/>
    </row>
    <row r="162">
      <c r="A162" s="23" t="s">
        <v>182</v>
      </c>
      <c r="B162" s="23" t="s">
        <v>134</v>
      </c>
      <c r="C162" s="23" t="s">
        <v>31</v>
      </c>
      <c r="D162" s="24"/>
      <c r="E162" s="25" t="s">
        <v>275</v>
      </c>
      <c r="F162" s="23">
        <v>110.0</v>
      </c>
      <c r="G162" s="23">
        <v>9.0</v>
      </c>
      <c r="H162" s="26"/>
      <c r="I162" s="24"/>
      <c r="J162" s="5">
        <v>0.0</v>
      </c>
      <c r="K162" s="5">
        <v>220.0</v>
      </c>
      <c r="L162" s="5">
        <f t="shared" si="5"/>
        <v>220</v>
      </c>
      <c r="M162" s="5">
        <f t="shared" si="6"/>
        <v>0</v>
      </c>
      <c r="N162" s="5"/>
      <c r="O162" s="5"/>
      <c r="P162" s="5"/>
      <c r="Q162" s="5"/>
    </row>
    <row r="163">
      <c r="A163" s="5" t="s">
        <v>78</v>
      </c>
      <c r="B163" s="5" t="s">
        <v>79</v>
      </c>
      <c r="C163" s="5" t="s">
        <v>276</v>
      </c>
      <c r="D163" s="5" t="s">
        <v>240</v>
      </c>
      <c r="E163" s="19" t="s">
        <v>275</v>
      </c>
      <c r="F163" s="5">
        <v>70.0</v>
      </c>
      <c r="G163" s="5">
        <v>7.0</v>
      </c>
      <c r="H163" s="7"/>
      <c r="I163" s="8"/>
      <c r="J163" s="5">
        <v>0.0</v>
      </c>
      <c r="K163" s="5">
        <v>140.0</v>
      </c>
      <c r="L163" s="5">
        <f t="shared" si="5"/>
        <v>140</v>
      </c>
      <c r="M163" s="5">
        <f t="shared" si="6"/>
        <v>0</v>
      </c>
      <c r="N163" s="5"/>
      <c r="O163" s="5"/>
      <c r="P163" s="5"/>
      <c r="Q163" s="5"/>
    </row>
    <row r="164">
      <c r="A164" s="5" t="s">
        <v>105</v>
      </c>
      <c r="B164" s="5" t="s">
        <v>106</v>
      </c>
      <c r="C164" s="5" t="s">
        <v>31</v>
      </c>
      <c r="D164" s="8"/>
      <c r="E164" s="19"/>
      <c r="F164" s="5">
        <v>250.0</v>
      </c>
      <c r="G164" s="5">
        <v>4.0</v>
      </c>
      <c r="H164" s="7"/>
      <c r="I164" s="8"/>
      <c r="J164" s="5">
        <v>0.0</v>
      </c>
      <c r="K164" s="5">
        <v>0.0</v>
      </c>
      <c r="L164" s="5">
        <f t="shared" si="5"/>
        <v>0</v>
      </c>
      <c r="M164" s="5">
        <f t="shared" si="6"/>
        <v>0</v>
      </c>
      <c r="N164" s="5"/>
      <c r="O164" s="5"/>
      <c r="P164" s="5"/>
      <c r="Q164" s="5"/>
    </row>
    <row r="165">
      <c r="A165" s="5" t="s">
        <v>105</v>
      </c>
      <c r="B165" s="5" t="s">
        <v>69</v>
      </c>
      <c r="C165" s="5" t="s">
        <v>31</v>
      </c>
      <c r="D165" s="8"/>
      <c r="E165" s="19"/>
      <c r="F165" s="5">
        <v>0.0</v>
      </c>
      <c r="G165" s="5">
        <v>4.0</v>
      </c>
      <c r="H165" s="7"/>
      <c r="I165" s="8"/>
      <c r="J165" s="5">
        <v>0.0</v>
      </c>
      <c r="K165" s="5">
        <v>0.0</v>
      </c>
      <c r="L165" s="5">
        <f t="shared" si="5"/>
        <v>0</v>
      </c>
      <c r="M165" s="5">
        <f t="shared" si="6"/>
        <v>0</v>
      </c>
      <c r="N165" s="5"/>
      <c r="O165" s="5"/>
      <c r="P165" s="5"/>
      <c r="Q165" s="5"/>
    </row>
    <row r="166">
      <c r="A166" s="5" t="s">
        <v>54</v>
      </c>
      <c r="B166" s="5" t="s">
        <v>277</v>
      </c>
      <c r="C166" s="5" t="s">
        <v>31</v>
      </c>
      <c r="D166" s="8"/>
      <c r="E166" s="19"/>
      <c r="F166" s="5">
        <v>200.0</v>
      </c>
      <c r="G166" s="5">
        <v>4.0</v>
      </c>
      <c r="H166" s="7"/>
      <c r="I166" s="8"/>
      <c r="J166" s="5">
        <v>0.0</v>
      </c>
      <c r="K166" s="5">
        <v>0.0</v>
      </c>
      <c r="L166" s="5">
        <f t="shared" si="5"/>
        <v>0</v>
      </c>
      <c r="M166" s="5">
        <f t="shared" si="6"/>
        <v>0</v>
      </c>
      <c r="N166" s="5"/>
      <c r="O166" s="5"/>
      <c r="P166" s="5"/>
      <c r="Q166" s="5"/>
    </row>
    <row r="167">
      <c r="A167" s="5" t="s">
        <v>54</v>
      </c>
      <c r="B167" s="5" t="s">
        <v>209</v>
      </c>
      <c r="C167" s="5" t="s">
        <v>210</v>
      </c>
      <c r="D167" s="5" t="s">
        <v>278</v>
      </c>
      <c r="E167" s="19"/>
      <c r="F167" s="5">
        <v>480.0</v>
      </c>
      <c r="G167" s="5">
        <v>1.0</v>
      </c>
      <c r="H167" s="7"/>
      <c r="I167" s="5" t="s">
        <v>279</v>
      </c>
      <c r="J167" s="5">
        <v>0.0</v>
      </c>
      <c r="K167" s="5">
        <v>1340.0</v>
      </c>
      <c r="L167" s="5">
        <f t="shared" si="5"/>
        <v>1340</v>
      </c>
      <c r="M167" s="5">
        <f t="shared" si="6"/>
        <v>0</v>
      </c>
      <c r="N167" s="5"/>
      <c r="O167" s="5"/>
      <c r="P167" s="5"/>
      <c r="Q167" s="5"/>
    </row>
    <row r="168">
      <c r="A168" s="5" t="s">
        <v>280</v>
      </c>
      <c r="B168" s="5" t="s">
        <v>209</v>
      </c>
      <c r="C168" s="5" t="s">
        <v>210</v>
      </c>
      <c r="D168" s="5" t="s">
        <v>281</v>
      </c>
      <c r="E168" s="19"/>
      <c r="F168" s="5">
        <v>148.0</v>
      </c>
      <c r="G168" s="5">
        <v>1.0</v>
      </c>
      <c r="H168" s="7"/>
      <c r="I168" s="8"/>
      <c r="J168" s="5">
        <v>0.0</v>
      </c>
      <c r="K168" s="5">
        <v>296.0</v>
      </c>
      <c r="L168" s="5">
        <f t="shared" si="5"/>
        <v>71</v>
      </c>
      <c r="M168" s="5">
        <f t="shared" si="6"/>
        <v>225</v>
      </c>
      <c r="N168" s="5">
        <v>225.0</v>
      </c>
      <c r="O168" s="5"/>
      <c r="P168" s="5"/>
      <c r="Q168" s="5"/>
    </row>
    <row r="169">
      <c r="A169" s="5" t="s">
        <v>153</v>
      </c>
      <c r="B169" s="5" t="s">
        <v>134</v>
      </c>
      <c r="C169" s="5" t="s">
        <v>282</v>
      </c>
      <c r="D169" s="5" t="s">
        <v>268</v>
      </c>
      <c r="E169" s="13">
        <v>44995.0</v>
      </c>
      <c r="F169" s="5">
        <v>42.0</v>
      </c>
      <c r="G169" s="5">
        <v>9.0</v>
      </c>
      <c r="H169" s="7"/>
      <c r="I169" s="8"/>
      <c r="J169" s="5">
        <v>0.0</v>
      </c>
      <c r="K169" s="5">
        <v>84.0</v>
      </c>
      <c r="L169" s="5">
        <f t="shared" si="5"/>
        <v>84</v>
      </c>
      <c r="M169" s="5">
        <f t="shared" si="6"/>
        <v>0</v>
      </c>
      <c r="N169" s="5"/>
      <c r="O169" s="5"/>
      <c r="P169" s="5"/>
      <c r="Q169" s="5"/>
    </row>
    <row r="170">
      <c r="A170" s="5" t="s">
        <v>153</v>
      </c>
      <c r="B170" s="5" t="s">
        <v>134</v>
      </c>
      <c r="C170" s="5" t="s">
        <v>283</v>
      </c>
      <c r="D170" s="5" t="s">
        <v>230</v>
      </c>
      <c r="E170" s="13">
        <v>44995.0</v>
      </c>
      <c r="F170" s="5">
        <v>8.0</v>
      </c>
      <c r="G170" s="5">
        <v>9.0</v>
      </c>
      <c r="H170" s="7"/>
      <c r="I170" s="8"/>
      <c r="J170" s="5">
        <v>0.0</v>
      </c>
      <c r="K170" s="5">
        <v>0.0</v>
      </c>
      <c r="L170" s="5">
        <f t="shared" si="5"/>
        <v>0</v>
      </c>
      <c r="M170" s="5">
        <f t="shared" si="6"/>
        <v>0</v>
      </c>
      <c r="N170" s="5"/>
      <c r="O170" s="5"/>
      <c r="P170" s="5"/>
      <c r="Q170" s="5"/>
    </row>
    <row r="171">
      <c r="A171" s="5" t="s">
        <v>284</v>
      </c>
      <c r="B171" s="5" t="s">
        <v>79</v>
      </c>
      <c r="C171" s="5" t="s">
        <v>276</v>
      </c>
      <c r="D171" s="5" t="s">
        <v>198</v>
      </c>
      <c r="E171" s="19" t="s">
        <v>275</v>
      </c>
      <c r="F171" s="5">
        <v>100.0</v>
      </c>
      <c r="G171" s="5">
        <v>4.0</v>
      </c>
      <c r="H171" s="7"/>
      <c r="I171" s="8"/>
      <c r="J171" s="5">
        <v>0.0</v>
      </c>
      <c r="K171" s="5">
        <v>180.0</v>
      </c>
      <c r="L171" s="5">
        <f t="shared" si="5"/>
        <v>0</v>
      </c>
      <c r="M171" s="5">
        <f t="shared" si="6"/>
        <v>180</v>
      </c>
      <c r="N171" s="5">
        <v>180.0</v>
      </c>
      <c r="O171" s="5"/>
      <c r="P171" s="5"/>
      <c r="Q171" s="5"/>
    </row>
    <row r="172">
      <c r="A172" s="5" t="s">
        <v>98</v>
      </c>
      <c r="B172" s="5" t="s">
        <v>124</v>
      </c>
      <c r="C172" s="5" t="s">
        <v>285</v>
      </c>
      <c r="D172" s="5" t="s">
        <v>286</v>
      </c>
      <c r="E172" s="19" t="s">
        <v>287</v>
      </c>
      <c r="F172" s="5">
        <v>14.0</v>
      </c>
      <c r="G172" s="5">
        <v>4.0</v>
      </c>
      <c r="H172" s="7"/>
      <c r="I172" s="8"/>
      <c r="J172" s="5">
        <v>0.0</v>
      </c>
      <c r="K172" s="5">
        <v>28.0</v>
      </c>
      <c r="L172" s="5">
        <f t="shared" si="5"/>
        <v>28</v>
      </c>
      <c r="M172" s="5">
        <f t="shared" si="6"/>
        <v>0</v>
      </c>
      <c r="N172" s="5"/>
      <c r="O172" s="5"/>
      <c r="P172" s="5"/>
      <c r="Q172" s="5"/>
    </row>
    <row r="173">
      <c r="A173" s="5" t="s">
        <v>98</v>
      </c>
      <c r="B173" s="5" t="s">
        <v>124</v>
      </c>
      <c r="C173" s="5"/>
      <c r="D173" s="5"/>
      <c r="E173" s="19" t="s">
        <v>288</v>
      </c>
      <c r="F173" s="5">
        <v>14.0</v>
      </c>
      <c r="G173" s="5">
        <v>4.0</v>
      </c>
      <c r="H173" s="7"/>
      <c r="I173" s="8"/>
      <c r="J173" s="5">
        <v>0.0</v>
      </c>
      <c r="K173" s="5">
        <v>28.0</v>
      </c>
      <c r="L173" s="5">
        <f t="shared" si="5"/>
        <v>28</v>
      </c>
      <c r="M173" s="5">
        <f t="shared" si="6"/>
        <v>0</v>
      </c>
      <c r="N173" s="5"/>
      <c r="O173" s="5"/>
      <c r="P173" s="5"/>
      <c r="Q173" s="5"/>
    </row>
    <row r="174">
      <c r="A174" s="5" t="s">
        <v>182</v>
      </c>
      <c r="B174" s="5" t="s">
        <v>32</v>
      </c>
      <c r="C174" s="5" t="s">
        <v>201</v>
      </c>
      <c r="D174" s="5" t="s">
        <v>240</v>
      </c>
      <c r="E174" s="19" t="s">
        <v>287</v>
      </c>
      <c r="F174" s="5">
        <v>180.0</v>
      </c>
      <c r="G174" s="5">
        <v>9.0</v>
      </c>
      <c r="H174" s="7"/>
      <c r="I174" s="8"/>
      <c r="J174" s="5">
        <v>0.0</v>
      </c>
      <c r="K174" s="5">
        <v>360.0</v>
      </c>
      <c r="L174" s="5">
        <f t="shared" si="5"/>
        <v>360</v>
      </c>
      <c r="M174" s="5">
        <f t="shared" si="6"/>
        <v>0</v>
      </c>
      <c r="N174" s="5"/>
      <c r="O174" s="5"/>
      <c r="P174" s="5"/>
      <c r="Q174" s="5"/>
    </row>
    <row r="175">
      <c r="A175" s="5" t="s">
        <v>226</v>
      </c>
      <c r="B175" s="5" t="s">
        <v>124</v>
      </c>
      <c r="C175" s="5" t="s">
        <v>289</v>
      </c>
      <c r="D175" s="5" t="s">
        <v>290</v>
      </c>
      <c r="E175" s="13">
        <v>44995.0</v>
      </c>
      <c r="F175" s="5">
        <v>194.0</v>
      </c>
      <c r="G175" s="5">
        <v>4.0</v>
      </c>
      <c r="H175" s="7"/>
      <c r="I175" s="8"/>
      <c r="J175" s="5">
        <v>0.0</v>
      </c>
      <c r="K175" s="5">
        <v>388.0</v>
      </c>
      <c r="L175" s="5">
        <f t="shared" si="5"/>
        <v>388</v>
      </c>
      <c r="M175" s="5">
        <f t="shared" si="6"/>
        <v>0</v>
      </c>
      <c r="N175" s="5"/>
      <c r="O175" s="5"/>
      <c r="P175" s="5"/>
      <c r="Q175" s="5"/>
    </row>
    <row r="176">
      <c r="A176" s="5" t="s">
        <v>192</v>
      </c>
      <c r="B176" s="5" t="s">
        <v>124</v>
      </c>
      <c r="C176" s="5" t="s">
        <v>255</v>
      </c>
      <c r="D176" s="5" t="s">
        <v>291</v>
      </c>
      <c r="E176" s="13">
        <v>44995.0</v>
      </c>
      <c r="F176" s="5">
        <v>71.0</v>
      </c>
      <c r="G176" s="5">
        <v>4.0</v>
      </c>
      <c r="H176" s="7"/>
      <c r="I176" s="8"/>
      <c r="J176" s="5">
        <v>0.0</v>
      </c>
      <c r="K176" s="5">
        <v>142.0</v>
      </c>
      <c r="L176" s="5">
        <f t="shared" si="5"/>
        <v>142</v>
      </c>
      <c r="M176" s="5">
        <f t="shared" si="6"/>
        <v>0</v>
      </c>
      <c r="N176" s="5"/>
      <c r="O176" s="5"/>
      <c r="P176" s="5"/>
      <c r="Q176" s="5"/>
    </row>
    <row r="177">
      <c r="A177" s="5" t="s">
        <v>182</v>
      </c>
      <c r="B177" s="5" t="s">
        <v>134</v>
      </c>
      <c r="C177" s="5" t="s">
        <v>31</v>
      </c>
      <c r="D177" s="8"/>
      <c r="E177" s="13">
        <v>44995.0</v>
      </c>
      <c r="F177" s="5">
        <v>20.0</v>
      </c>
      <c r="G177" s="5">
        <v>9.0</v>
      </c>
      <c r="H177" s="7"/>
      <c r="I177" s="8"/>
      <c r="J177" s="5">
        <v>0.0</v>
      </c>
      <c r="K177" s="5">
        <v>40.0</v>
      </c>
      <c r="L177" s="5">
        <f t="shared" si="5"/>
        <v>40</v>
      </c>
      <c r="M177" s="5">
        <f t="shared" si="6"/>
        <v>0</v>
      </c>
      <c r="N177" s="5"/>
      <c r="O177" s="5"/>
      <c r="P177" s="5"/>
      <c r="Q177" s="5"/>
    </row>
    <row r="178">
      <c r="A178" s="5" t="s">
        <v>54</v>
      </c>
      <c r="B178" s="5" t="s">
        <v>209</v>
      </c>
      <c r="C178" s="5" t="s">
        <v>210</v>
      </c>
      <c r="D178" s="8"/>
      <c r="E178" s="13">
        <v>45026.0</v>
      </c>
      <c r="F178" s="5">
        <v>205.0</v>
      </c>
      <c r="G178" s="5">
        <v>9.0</v>
      </c>
      <c r="H178" s="7"/>
      <c r="I178" s="8"/>
      <c r="J178" s="5">
        <v>0.0</v>
      </c>
      <c r="K178" s="5">
        <v>0.0</v>
      </c>
      <c r="L178" s="5">
        <f t="shared" si="5"/>
        <v>0</v>
      </c>
      <c r="M178" s="5">
        <f t="shared" si="6"/>
        <v>0</v>
      </c>
      <c r="N178" s="5"/>
      <c r="O178" s="5"/>
      <c r="P178" s="5"/>
      <c r="Q178" s="5"/>
    </row>
    <row r="179">
      <c r="A179" s="5" t="s">
        <v>54</v>
      </c>
      <c r="B179" s="5" t="s">
        <v>251</v>
      </c>
      <c r="C179" s="5" t="s">
        <v>159</v>
      </c>
      <c r="D179" s="5" t="s">
        <v>292</v>
      </c>
      <c r="E179" s="13">
        <v>45026.0</v>
      </c>
      <c r="F179" s="5">
        <v>100.0</v>
      </c>
      <c r="G179" s="5">
        <v>1.0</v>
      </c>
      <c r="H179" s="7"/>
      <c r="I179" s="8"/>
      <c r="J179" s="5">
        <v>0.0</v>
      </c>
      <c r="K179" s="5">
        <v>0.0</v>
      </c>
      <c r="L179" s="5">
        <f t="shared" si="5"/>
        <v>0</v>
      </c>
      <c r="M179" s="5">
        <f t="shared" si="6"/>
        <v>0</v>
      </c>
      <c r="N179" s="5"/>
      <c r="O179" s="5"/>
      <c r="P179" s="5"/>
      <c r="Q179" s="5"/>
    </row>
    <row r="180">
      <c r="A180" s="5" t="s">
        <v>146</v>
      </c>
      <c r="B180" s="5" t="s">
        <v>134</v>
      </c>
      <c r="C180" s="5" t="s">
        <v>293</v>
      </c>
      <c r="D180" s="5" t="s">
        <v>294</v>
      </c>
      <c r="E180" s="13">
        <v>45026.0</v>
      </c>
      <c r="F180" s="5">
        <v>50.0</v>
      </c>
      <c r="G180" s="5">
        <v>9.0</v>
      </c>
      <c r="H180" s="7"/>
      <c r="I180" s="8"/>
      <c r="J180" s="5">
        <v>0.0</v>
      </c>
      <c r="K180" s="5">
        <v>87.5</v>
      </c>
      <c r="L180" s="5">
        <f t="shared" si="5"/>
        <v>87.5</v>
      </c>
      <c r="M180" s="5">
        <f t="shared" si="6"/>
        <v>0</v>
      </c>
      <c r="N180" s="5"/>
      <c r="O180" s="5"/>
      <c r="P180" s="5"/>
      <c r="Q180" s="5"/>
    </row>
    <row r="181">
      <c r="A181" s="5" t="s">
        <v>295</v>
      </c>
      <c r="B181" s="5" t="s">
        <v>134</v>
      </c>
      <c r="C181" s="5" t="s">
        <v>31</v>
      </c>
      <c r="D181" s="8"/>
      <c r="E181" s="13">
        <v>45026.0</v>
      </c>
      <c r="F181" s="5">
        <v>48.0</v>
      </c>
      <c r="G181" s="5">
        <v>9.0</v>
      </c>
      <c r="H181" s="7"/>
      <c r="I181" s="8"/>
      <c r="J181" s="5">
        <v>0.0</v>
      </c>
      <c r="K181" s="5">
        <v>96.0</v>
      </c>
      <c r="L181" s="5">
        <f t="shared" si="5"/>
        <v>96</v>
      </c>
      <c r="M181" s="5">
        <f t="shared" si="6"/>
        <v>0</v>
      </c>
      <c r="N181" s="5"/>
      <c r="O181" s="5"/>
      <c r="P181" s="5"/>
      <c r="Q181" s="5"/>
    </row>
    <row r="182">
      <c r="A182" s="5" t="s">
        <v>296</v>
      </c>
      <c r="B182" s="5" t="s">
        <v>124</v>
      </c>
      <c r="C182" s="5" t="s">
        <v>255</v>
      </c>
      <c r="D182" s="5" t="s">
        <v>294</v>
      </c>
      <c r="E182" s="13">
        <v>45148.0</v>
      </c>
      <c r="F182" s="5">
        <v>295.0</v>
      </c>
      <c r="G182" s="5">
        <v>4.0</v>
      </c>
      <c r="H182" s="7"/>
      <c r="I182" s="5" t="s">
        <v>297</v>
      </c>
      <c r="J182" s="5">
        <v>0.0</v>
      </c>
      <c r="K182" s="5">
        <v>4910.0</v>
      </c>
      <c r="L182" s="5">
        <f t="shared" si="5"/>
        <v>4910</v>
      </c>
      <c r="M182" s="5">
        <f t="shared" si="6"/>
        <v>0</v>
      </c>
      <c r="N182" s="5"/>
      <c r="O182" s="5"/>
      <c r="P182" s="5"/>
      <c r="Q182" s="5"/>
    </row>
    <row r="183">
      <c r="A183" s="5" t="s">
        <v>182</v>
      </c>
      <c r="B183" s="5" t="s">
        <v>298</v>
      </c>
      <c r="C183" s="5" t="s">
        <v>31</v>
      </c>
      <c r="D183" s="8"/>
      <c r="E183" s="13">
        <v>45179.0</v>
      </c>
      <c r="F183" s="5">
        <v>62.0</v>
      </c>
      <c r="G183" s="5">
        <v>3.0</v>
      </c>
      <c r="H183" s="7"/>
      <c r="I183" s="8"/>
      <c r="J183" s="5">
        <v>0.0</v>
      </c>
      <c r="K183" s="5">
        <v>124.0</v>
      </c>
      <c r="L183" s="5">
        <f t="shared" si="5"/>
        <v>124</v>
      </c>
      <c r="M183" s="5">
        <f t="shared" si="6"/>
        <v>0</v>
      </c>
      <c r="N183" s="5"/>
      <c r="O183" s="5"/>
      <c r="P183" s="5"/>
      <c r="Q183" s="5"/>
    </row>
    <row r="184">
      <c r="A184" s="5" t="s">
        <v>105</v>
      </c>
      <c r="B184" s="5" t="s">
        <v>270</v>
      </c>
      <c r="C184" s="8"/>
      <c r="D184" s="8"/>
      <c r="E184" s="13">
        <v>45179.0</v>
      </c>
      <c r="F184" s="5">
        <v>280.0</v>
      </c>
      <c r="G184" s="5">
        <v>8.0</v>
      </c>
      <c r="H184" s="7"/>
      <c r="I184" s="8"/>
      <c r="J184" s="5">
        <v>0.0</v>
      </c>
      <c r="K184" s="5">
        <v>560.0</v>
      </c>
      <c r="L184" s="5">
        <f t="shared" si="5"/>
        <v>560</v>
      </c>
      <c r="M184" s="5">
        <f t="shared" si="6"/>
        <v>0</v>
      </c>
      <c r="N184" s="5"/>
      <c r="O184" s="5"/>
      <c r="P184" s="5"/>
      <c r="Q184" s="5"/>
    </row>
    <row r="185">
      <c r="A185" s="5" t="s">
        <v>280</v>
      </c>
      <c r="B185" s="5" t="s">
        <v>209</v>
      </c>
      <c r="C185" s="5" t="s">
        <v>210</v>
      </c>
      <c r="D185" s="5" t="s">
        <v>236</v>
      </c>
      <c r="E185" s="13">
        <v>45179.0</v>
      </c>
      <c r="F185" s="5">
        <v>45.0</v>
      </c>
      <c r="G185" s="5">
        <v>1.0</v>
      </c>
      <c r="H185" s="7"/>
      <c r="I185" s="8"/>
      <c r="J185" s="5">
        <v>0.0</v>
      </c>
      <c r="K185" s="5">
        <v>81.0</v>
      </c>
      <c r="L185" s="5">
        <f t="shared" si="5"/>
        <v>81</v>
      </c>
      <c r="M185" s="5">
        <f t="shared" si="6"/>
        <v>0</v>
      </c>
      <c r="N185" s="5"/>
      <c r="O185" s="5"/>
      <c r="P185" s="5"/>
      <c r="Q185" s="5"/>
    </row>
    <row r="186">
      <c r="A186" s="5" t="s">
        <v>54</v>
      </c>
      <c r="B186" s="5" t="s">
        <v>160</v>
      </c>
      <c r="C186" s="5" t="s">
        <v>120</v>
      </c>
      <c r="D186" s="5" t="s">
        <v>211</v>
      </c>
      <c r="E186" s="13">
        <v>45179.0</v>
      </c>
      <c r="F186" s="5">
        <v>44.0</v>
      </c>
      <c r="G186" s="5">
        <v>10.0</v>
      </c>
      <c r="H186" s="7"/>
      <c r="I186" s="8"/>
      <c r="J186" s="5">
        <v>0.0</v>
      </c>
      <c r="K186" s="5">
        <v>0.0</v>
      </c>
      <c r="L186" s="5">
        <f t="shared" si="5"/>
        <v>0</v>
      </c>
      <c r="M186" s="5">
        <f t="shared" si="6"/>
        <v>0</v>
      </c>
      <c r="N186" s="5"/>
      <c r="O186" s="5"/>
      <c r="P186" s="5"/>
      <c r="Q186" s="5"/>
    </row>
    <row r="187">
      <c r="A187" s="5" t="s">
        <v>81</v>
      </c>
      <c r="B187" s="5" t="s">
        <v>25</v>
      </c>
      <c r="C187" s="5" t="s">
        <v>299</v>
      </c>
      <c r="D187" s="5" t="s">
        <v>211</v>
      </c>
      <c r="E187" s="13">
        <v>45179.0</v>
      </c>
      <c r="F187" s="5">
        <v>10.0</v>
      </c>
      <c r="G187" s="5">
        <v>10.0</v>
      </c>
      <c r="H187" s="7"/>
      <c r="I187" s="8"/>
      <c r="J187" s="5">
        <v>0.0</v>
      </c>
      <c r="K187" s="5">
        <v>20.0</v>
      </c>
      <c r="L187" s="5">
        <f t="shared" si="5"/>
        <v>20</v>
      </c>
      <c r="M187" s="5">
        <f t="shared" si="6"/>
        <v>0</v>
      </c>
      <c r="N187" s="5"/>
      <c r="O187" s="5"/>
      <c r="P187" s="5"/>
      <c r="Q187" s="5"/>
    </row>
    <row r="188">
      <c r="A188" s="5" t="s">
        <v>54</v>
      </c>
      <c r="B188" s="5" t="s">
        <v>124</v>
      </c>
      <c r="C188" s="5" t="s">
        <v>300</v>
      </c>
      <c r="D188" s="5" t="s">
        <v>301</v>
      </c>
      <c r="E188" s="13">
        <v>45179.0</v>
      </c>
      <c r="F188" s="5">
        <v>43.0</v>
      </c>
      <c r="G188" s="5">
        <v>3.0</v>
      </c>
      <c r="H188" s="7"/>
      <c r="I188" s="8"/>
      <c r="J188" s="5">
        <v>0.0</v>
      </c>
      <c r="K188" s="5">
        <v>0.0</v>
      </c>
      <c r="L188" s="5">
        <f t="shared" si="5"/>
        <v>0</v>
      </c>
      <c r="M188" s="5">
        <f t="shared" si="6"/>
        <v>0</v>
      </c>
      <c r="N188" s="5"/>
      <c r="O188" s="5"/>
      <c r="P188" s="5"/>
      <c r="Q188" s="5"/>
    </row>
    <row r="189">
      <c r="A189" s="5" t="s">
        <v>54</v>
      </c>
      <c r="B189" s="5" t="s">
        <v>79</v>
      </c>
      <c r="C189" s="8"/>
      <c r="D189" s="5" t="s">
        <v>211</v>
      </c>
      <c r="E189" s="13">
        <v>45179.0</v>
      </c>
      <c r="F189" s="5">
        <v>18.0</v>
      </c>
      <c r="G189" s="5">
        <v>8.0</v>
      </c>
      <c r="H189" s="7"/>
      <c r="I189" s="8"/>
      <c r="J189" s="5">
        <v>0.0</v>
      </c>
      <c r="K189" s="5">
        <v>0.0</v>
      </c>
      <c r="L189" s="5">
        <f t="shared" si="5"/>
        <v>0</v>
      </c>
      <c r="M189" s="5">
        <f t="shared" si="6"/>
        <v>0</v>
      </c>
      <c r="N189" s="5"/>
      <c r="O189" s="5"/>
      <c r="P189" s="5"/>
      <c r="Q189" s="5"/>
    </row>
    <row r="190">
      <c r="A190" s="5" t="s">
        <v>302</v>
      </c>
      <c r="B190" s="5" t="s">
        <v>134</v>
      </c>
      <c r="C190" s="5" t="s">
        <v>283</v>
      </c>
      <c r="D190" s="5" t="s">
        <v>303</v>
      </c>
      <c r="E190" s="19" t="s">
        <v>304</v>
      </c>
      <c r="F190" s="5">
        <v>175.0</v>
      </c>
      <c r="G190" s="5">
        <v>9.0</v>
      </c>
      <c r="H190" s="7"/>
      <c r="I190" s="8"/>
      <c r="J190" s="5">
        <v>0.0</v>
      </c>
      <c r="K190" s="5">
        <v>350.0</v>
      </c>
      <c r="L190" s="5">
        <f t="shared" si="5"/>
        <v>350</v>
      </c>
      <c r="M190" s="5">
        <f t="shared" si="6"/>
        <v>0</v>
      </c>
      <c r="N190" s="5"/>
      <c r="O190" s="5"/>
      <c r="P190" s="5"/>
      <c r="Q190" s="5"/>
    </row>
    <row r="191">
      <c r="A191" s="5" t="s">
        <v>302</v>
      </c>
      <c r="B191" s="5" t="s">
        <v>134</v>
      </c>
      <c r="C191" s="5" t="s">
        <v>283</v>
      </c>
      <c r="D191" s="5" t="s">
        <v>221</v>
      </c>
      <c r="E191" s="19" t="s">
        <v>305</v>
      </c>
      <c r="F191" s="5">
        <v>217.0</v>
      </c>
      <c r="G191" s="5">
        <v>9.0</v>
      </c>
      <c r="H191" s="7"/>
      <c r="I191" s="8"/>
      <c r="J191" s="5">
        <v>0.0</v>
      </c>
      <c r="K191" s="5">
        <v>434.0</v>
      </c>
      <c r="L191" s="5">
        <f t="shared" si="5"/>
        <v>434</v>
      </c>
      <c r="M191" s="5">
        <f t="shared" si="6"/>
        <v>0</v>
      </c>
      <c r="N191" s="5"/>
      <c r="O191" s="5"/>
      <c r="P191" s="5"/>
      <c r="Q191" s="5"/>
    </row>
    <row r="192">
      <c r="A192" s="5" t="s">
        <v>43</v>
      </c>
      <c r="B192" s="5" t="s">
        <v>25</v>
      </c>
      <c r="C192" s="5" t="s">
        <v>64</v>
      </c>
      <c r="D192" s="5" t="s">
        <v>306</v>
      </c>
      <c r="E192" s="19" t="s">
        <v>304</v>
      </c>
      <c r="F192" s="5">
        <v>115.0</v>
      </c>
      <c r="G192" s="5">
        <v>3.0</v>
      </c>
      <c r="H192" s="7"/>
      <c r="I192" s="8"/>
      <c r="J192" s="5">
        <v>0.0</v>
      </c>
      <c r="K192" s="5">
        <v>230.0</v>
      </c>
      <c r="L192" s="5">
        <f t="shared" si="5"/>
        <v>230</v>
      </c>
      <c r="M192" s="5">
        <f t="shared" si="6"/>
        <v>0</v>
      </c>
      <c r="N192" s="5"/>
      <c r="O192" s="5"/>
      <c r="P192" s="5"/>
      <c r="Q192" s="5"/>
    </row>
    <row r="193">
      <c r="A193" s="5" t="s">
        <v>30</v>
      </c>
      <c r="B193" s="5" t="s">
        <v>124</v>
      </c>
      <c r="C193" s="5" t="s">
        <v>31</v>
      </c>
      <c r="D193" s="8"/>
      <c r="E193" s="19" t="s">
        <v>304</v>
      </c>
      <c r="F193" s="5">
        <v>8.0</v>
      </c>
      <c r="G193" s="5">
        <v>3.0</v>
      </c>
      <c r="H193" s="7"/>
      <c r="I193" s="8"/>
      <c r="J193" s="5">
        <v>0.0</v>
      </c>
      <c r="K193" s="5">
        <v>20.0</v>
      </c>
      <c r="L193" s="5">
        <f t="shared" si="5"/>
        <v>20</v>
      </c>
      <c r="M193" s="5">
        <f t="shared" si="6"/>
        <v>0</v>
      </c>
      <c r="N193" s="5"/>
      <c r="O193" s="5"/>
      <c r="P193" s="5"/>
      <c r="Q193" s="5"/>
    </row>
    <row r="194">
      <c r="A194" s="5" t="s">
        <v>121</v>
      </c>
      <c r="B194" s="5" t="s">
        <v>124</v>
      </c>
      <c r="C194" s="5" t="s">
        <v>307</v>
      </c>
      <c r="D194" s="8"/>
      <c r="E194" s="19" t="s">
        <v>304</v>
      </c>
      <c r="F194" s="5">
        <v>412.0</v>
      </c>
      <c r="G194" s="5">
        <v>3.0</v>
      </c>
      <c r="H194" s="7"/>
      <c r="I194" s="8"/>
      <c r="J194" s="5">
        <v>0.0</v>
      </c>
      <c r="K194" s="5">
        <v>824.0</v>
      </c>
      <c r="L194" s="5">
        <f t="shared" si="5"/>
        <v>824</v>
      </c>
      <c r="M194" s="5">
        <f t="shared" si="6"/>
        <v>0</v>
      </c>
      <c r="N194" s="5"/>
      <c r="O194" s="5"/>
      <c r="P194" s="5"/>
      <c r="Q194" s="5"/>
    </row>
    <row r="195">
      <c r="A195" s="5" t="s">
        <v>81</v>
      </c>
      <c r="B195" s="5" t="s">
        <v>124</v>
      </c>
      <c r="C195" s="5" t="s">
        <v>220</v>
      </c>
      <c r="D195" s="5" t="s">
        <v>308</v>
      </c>
      <c r="E195" s="19" t="s">
        <v>309</v>
      </c>
      <c r="F195" s="5">
        <v>20.0</v>
      </c>
      <c r="G195" s="5">
        <v>3.0</v>
      </c>
      <c r="H195" s="7"/>
      <c r="I195" s="8"/>
      <c r="J195" s="5">
        <v>0.0</v>
      </c>
      <c r="K195" s="5">
        <v>40.0</v>
      </c>
      <c r="L195" s="5">
        <f t="shared" si="5"/>
        <v>40</v>
      </c>
      <c r="M195" s="5">
        <f t="shared" si="6"/>
        <v>0</v>
      </c>
      <c r="N195" s="5"/>
      <c r="O195" s="5"/>
      <c r="P195" s="5"/>
      <c r="Q195" s="5"/>
    </row>
    <row r="196">
      <c r="A196" s="5" t="s">
        <v>170</v>
      </c>
      <c r="B196" s="5" t="s">
        <v>124</v>
      </c>
      <c r="C196" s="5" t="s">
        <v>220</v>
      </c>
      <c r="D196" s="5" t="s">
        <v>208</v>
      </c>
      <c r="E196" s="19" t="s">
        <v>310</v>
      </c>
      <c r="F196" s="5">
        <v>62.0</v>
      </c>
      <c r="G196" s="5">
        <v>3.0</v>
      </c>
      <c r="H196" s="7"/>
      <c r="I196" s="8"/>
      <c r="J196" s="5">
        <v>0.0</v>
      </c>
      <c r="K196" s="5">
        <v>124.0</v>
      </c>
      <c r="L196" s="5">
        <f t="shared" si="5"/>
        <v>124</v>
      </c>
      <c r="M196" s="5">
        <f t="shared" si="6"/>
        <v>0</v>
      </c>
      <c r="N196" s="5"/>
      <c r="O196" s="5"/>
      <c r="P196" s="5"/>
      <c r="Q196" s="5"/>
    </row>
    <row r="197">
      <c r="A197" s="5" t="s">
        <v>146</v>
      </c>
      <c r="B197" s="5" t="s">
        <v>134</v>
      </c>
      <c r="C197" s="5" t="s">
        <v>311</v>
      </c>
      <c r="D197" s="5" t="s">
        <v>312</v>
      </c>
      <c r="E197" s="19" t="s">
        <v>313</v>
      </c>
      <c r="F197" s="5">
        <v>96.0</v>
      </c>
      <c r="G197" s="5">
        <v>9.0</v>
      </c>
      <c r="H197" s="7"/>
      <c r="I197" s="8"/>
      <c r="J197" s="5">
        <v>0.0</v>
      </c>
      <c r="K197" s="5">
        <v>192.0</v>
      </c>
      <c r="L197" s="5">
        <f t="shared" si="5"/>
        <v>192</v>
      </c>
      <c r="M197" s="5">
        <f t="shared" si="6"/>
        <v>0</v>
      </c>
      <c r="N197" s="5"/>
      <c r="O197" s="5"/>
      <c r="P197" s="5"/>
      <c r="Q197" s="5"/>
    </row>
    <row r="198">
      <c r="A198" s="5" t="s">
        <v>314</v>
      </c>
      <c r="B198" s="5" t="s">
        <v>134</v>
      </c>
      <c r="C198" s="5" t="s">
        <v>315</v>
      </c>
      <c r="D198" s="5" t="s">
        <v>294</v>
      </c>
      <c r="E198" s="19" t="s">
        <v>313</v>
      </c>
      <c r="F198" s="5">
        <v>48.0</v>
      </c>
      <c r="G198" s="5">
        <v>9.0</v>
      </c>
      <c r="H198" s="7"/>
      <c r="I198" s="8"/>
      <c r="J198" s="5">
        <v>0.0</v>
      </c>
      <c r="K198" s="5">
        <v>96.0</v>
      </c>
      <c r="L198" s="5">
        <f t="shared" si="5"/>
        <v>96</v>
      </c>
      <c r="M198" s="5">
        <f t="shared" si="6"/>
        <v>0</v>
      </c>
      <c r="N198" s="5"/>
      <c r="O198" s="5"/>
      <c r="P198" s="5"/>
      <c r="Q198" s="5"/>
    </row>
    <row r="199">
      <c r="A199" s="5" t="s">
        <v>182</v>
      </c>
      <c r="B199" s="5" t="s">
        <v>134</v>
      </c>
      <c r="C199" s="5" t="s">
        <v>31</v>
      </c>
      <c r="D199" s="8"/>
      <c r="E199" s="19" t="s">
        <v>313</v>
      </c>
      <c r="F199" s="5">
        <v>27.0</v>
      </c>
      <c r="G199" s="5">
        <v>9.0</v>
      </c>
      <c r="H199" s="7"/>
      <c r="I199" s="8"/>
      <c r="J199" s="5">
        <v>0.0</v>
      </c>
      <c r="K199" s="5">
        <v>54.0</v>
      </c>
      <c r="L199" s="5">
        <f t="shared" si="5"/>
        <v>54</v>
      </c>
      <c r="M199" s="5">
        <f t="shared" si="6"/>
        <v>0</v>
      </c>
      <c r="N199" s="5"/>
      <c r="O199" s="5"/>
      <c r="P199" s="5"/>
      <c r="Q199" s="5"/>
    </row>
    <row r="200">
      <c r="A200" s="5" t="s">
        <v>30</v>
      </c>
      <c r="B200" s="5" t="s">
        <v>124</v>
      </c>
      <c r="C200" s="5" t="s">
        <v>31</v>
      </c>
      <c r="D200" s="8"/>
      <c r="E200" s="19" t="s">
        <v>313</v>
      </c>
      <c r="F200" s="5">
        <v>8.0</v>
      </c>
      <c r="G200" s="5">
        <v>3.0</v>
      </c>
      <c r="H200" s="7"/>
      <c r="I200" s="8"/>
      <c r="J200" s="5">
        <v>0.0</v>
      </c>
      <c r="K200" s="5">
        <v>20.0</v>
      </c>
      <c r="L200" s="5">
        <f t="shared" si="5"/>
        <v>20</v>
      </c>
      <c r="M200" s="5">
        <f t="shared" si="6"/>
        <v>0</v>
      </c>
      <c r="N200" s="5"/>
      <c r="O200" s="5"/>
      <c r="P200" s="5"/>
      <c r="Q200" s="5"/>
    </row>
    <row r="201">
      <c r="A201" s="5" t="s">
        <v>54</v>
      </c>
      <c r="B201" s="5" t="s">
        <v>316</v>
      </c>
      <c r="C201" s="5" t="s">
        <v>317</v>
      </c>
      <c r="D201" s="5" t="s">
        <v>318</v>
      </c>
      <c r="E201" s="19" t="s">
        <v>313</v>
      </c>
      <c r="F201" s="5">
        <v>300.0</v>
      </c>
      <c r="G201" s="5">
        <v>8.0</v>
      </c>
      <c r="H201" s="7"/>
      <c r="I201" s="8"/>
      <c r="J201" s="5">
        <v>0.0</v>
      </c>
      <c r="K201" s="5">
        <v>0.0</v>
      </c>
      <c r="L201" s="5">
        <f t="shared" si="5"/>
        <v>0</v>
      </c>
      <c r="M201" s="5">
        <f t="shared" si="6"/>
        <v>0</v>
      </c>
      <c r="N201" s="5"/>
      <c r="O201" s="5"/>
      <c r="P201" s="5"/>
      <c r="Q201" s="5"/>
    </row>
    <row r="202">
      <c r="A202" s="5" t="s">
        <v>319</v>
      </c>
      <c r="B202" s="5" t="s">
        <v>134</v>
      </c>
      <c r="C202" s="5" t="s">
        <v>320</v>
      </c>
      <c r="D202" s="5" t="s">
        <v>321</v>
      </c>
      <c r="E202" s="19" t="s">
        <v>313</v>
      </c>
      <c r="F202" s="5">
        <v>72.0</v>
      </c>
      <c r="G202" s="5">
        <v>9.0</v>
      </c>
      <c r="H202" s="7"/>
      <c r="I202" s="8"/>
      <c r="J202" s="5">
        <v>0.0</v>
      </c>
      <c r="K202" s="5">
        <v>144.0</v>
      </c>
      <c r="L202" s="5">
        <f t="shared" si="5"/>
        <v>144</v>
      </c>
      <c r="M202" s="5">
        <f t="shared" si="6"/>
        <v>0</v>
      </c>
      <c r="N202" s="5"/>
      <c r="O202" s="5"/>
      <c r="P202" s="5"/>
      <c r="Q202" s="5"/>
    </row>
    <row r="203">
      <c r="A203" s="5" t="s">
        <v>54</v>
      </c>
      <c r="B203" s="5" t="s">
        <v>316</v>
      </c>
      <c r="C203" s="5" t="s">
        <v>317</v>
      </c>
      <c r="D203" s="5" t="s">
        <v>318</v>
      </c>
      <c r="E203" s="19" t="s">
        <v>322</v>
      </c>
      <c r="F203" s="5">
        <v>220.0</v>
      </c>
      <c r="G203" s="5">
        <v>8.0</v>
      </c>
      <c r="H203" s="7"/>
      <c r="I203" s="8"/>
      <c r="J203" s="5">
        <v>0.0</v>
      </c>
      <c r="K203" s="5">
        <v>0.0</v>
      </c>
      <c r="L203" s="5">
        <f t="shared" si="5"/>
        <v>0</v>
      </c>
      <c r="M203" s="5">
        <f t="shared" si="6"/>
        <v>0</v>
      </c>
      <c r="N203" s="5"/>
      <c r="O203" s="5"/>
      <c r="P203" s="5"/>
      <c r="Q203" s="5"/>
    </row>
    <row r="204">
      <c r="A204" s="5" t="s">
        <v>121</v>
      </c>
      <c r="B204" s="5" t="s">
        <v>134</v>
      </c>
      <c r="C204" s="5" t="s">
        <v>283</v>
      </c>
      <c r="D204" s="5" t="s">
        <v>323</v>
      </c>
      <c r="E204" s="19" t="s">
        <v>324</v>
      </c>
      <c r="F204" s="5">
        <v>250.0</v>
      </c>
      <c r="G204" s="5">
        <v>10.0</v>
      </c>
      <c r="H204" s="7"/>
      <c r="I204" s="8"/>
      <c r="J204" s="5">
        <v>0.0</v>
      </c>
      <c r="K204" s="5">
        <v>500.0</v>
      </c>
      <c r="L204" s="5">
        <f t="shared" si="5"/>
        <v>500</v>
      </c>
      <c r="M204" s="5">
        <f t="shared" si="6"/>
        <v>0</v>
      </c>
      <c r="N204" s="5"/>
      <c r="O204" s="5"/>
      <c r="P204" s="5"/>
      <c r="Q204" s="5"/>
    </row>
    <row r="205">
      <c r="A205" s="5" t="s">
        <v>203</v>
      </c>
      <c r="B205" s="5" t="s">
        <v>134</v>
      </c>
      <c r="C205" s="27" t="s">
        <v>311</v>
      </c>
      <c r="D205" s="5" t="s">
        <v>325</v>
      </c>
      <c r="E205" s="19" t="s">
        <v>326</v>
      </c>
      <c r="F205" s="5">
        <v>45.0</v>
      </c>
      <c r="G205" s="5">
        <v>9.0</v>
      </c>
      <c r="H205" s="7"/>
      <c r="I205" s="8"/>
      <c r="J205" s="5">
        <v>0.0</v>
      </c>
      <c r="K205" s="5">
        <v>90.0</v>
      </c>
      <c r="L205" s="5">
        <f t="shared" si="5"/>
        <v>90</v>
      </c>
      <c r="M205" s="5">
        <f t="shared" si="6"/>
        <v>0</v>
      </c>
      <c r="N205" s="5"/>
      <c r="O205" s="5"/>
      <c r="P205" s="5"/>
      <c r="Q205" s="5"/>
    </row>
    <row r="206">
      <c r="A206" s="5" t="s">
        <v>203</v>
      </c>
      <c r="B206" s="5" t="s">
        <v>134</v>
      </c>
      <c r="C206" s="5" t="s">
        <v>31</v>
      </c>
      <c r="D206" s="8"/>
      <c r="E206" s="19" t="s">
        <v>326</v>
      </c>
      <c r="F206" s="5">
        <v>3.0</v>
      </c>
      <c r="G206" s="5">
        <v>9.0</v>
      </c>
      <c r="H206" s="7"/>
      <c r="I206" s="8"/>
      <c r="J206" s="5">
        <v>0.0</v>
      </c>
      <c r="K206" s="5">
        <v>6.0</v>
      </c>
      <c r="L206" s="5">
        <f t="shared" si="5"/>
        <v>6</v>
      </c>
      <c r="M206" s="5">
        <f t="shared" si="6"/>
        <v>0</v>
      </c>
      <c r="N206" s="5"/>
      <c r="O206" s="5"/>
      <c r="P206" s="5"/>
      <c r="Q206" s="5"/>
    </row>
    <row r="207">
      <c r="A207" s="5" t="s">
        <v>195</v>
      </c>
      <c r="B207" s="5" t="s">
        <v>134</v>
      </c>
      <c r="C207" s="5" t="s">
        <v>31</v>
      </c>
      <c r="D207" s="8"/>
      <c r="E207" s="19" t="s">
        <v>322</v>
      </c>
      <c r="F207" s="5">
        <v>70.0</v>
      </c>
      <c r="G207" s="5">
        <v>9.0</v>
      </c>
      <c r="H207" s="7"/>
      <c r="I207" s="8"/>
      <c r="J207" s="5">
        <v>0.0</v>
      </c>
      <c r="K207" s="5">
        <v>168.0</v>
      </c>
      <c r="L207" s="5">
        <f t="shared" si="5"/>
        <v>168</v>
      </c>
      <c r="M207" s="5">
        <f t="shared" si="6"/>
        <v>0</v>
      </c>
      <c r="N207" s="5"/>
      <c r="O207" s="5"/>
      <c r="P207" s="5"/>
      <c r="Q207" s="5"/>
    </row>
    <row r="208">
      <c r="A208" s="5" t="s">
        <v>54</v>
      </c>
      <c r="B208" s="5" t="s">
        <v>124</v>
      </c>
      <c r="C208" s="5" t="s">
        <v>327</v>
      </c>
      <c r="D208" s="5" t="s">
        <v>328</v>
      </c>
      <c r="E208" s="19" t="s">
        <v>329</v>
      </c>
      <c r="F208" s="5">
        <v>340.0</v>
      </c>
      <c r="G208" s="5">
        <v>4.0</v>
      </c>
      <c r="H208" s="7"/>
      <c r="I208" s="8"/>
      <c r="J208" s="5">
        <v>0.0</v>
      </c>
      <c r="K208" s="5">
        <v>0.0</v>
      </c>
      <c r="L208" s="5">
        <f t="shared" si="5"/>
        <v>0</v>
      </c>
      <c r="M208" s="5">
        <f t="shared" si="6"/>
        <v>0</v>
      </c>
      <c r="N208" s="5"/>
      <c r="O208" s="5"/>
      <c r="P208" s="5"/>
      <c r="Q208" s="5"/>
    </row>
    <row r="209">
      <c r="A209" s="5" t="s">
        <v>17</v>
      </c>
      <c r="B209" s="5" t="s">
        <v>124</v>
      </c>
      <c r="C209" s="5" t="s">
        <v>207</v>
      </c>
      <c r="D209" s="5" t="s">
        <v>330</v>
      </c>
      <c r="E209" s="19" t="s">
        <v>331</v>
      </c>
      <c r="F209" s="5">
        <v>112.0</v>
      </c>
      <c r="G209" s="5">
        <v>3.0</v>
      </c>
      <c r="H209" s="28" t="s">
        <v>332</v>
      </c>
      <c r="I209" s="8"/>
      <c r="J209" s="5">
        <v>0.0</v>
      </c>
      <c r="K209" s="5">
        <v>224.0</v>
      </c>
      <c r="L209" s="5">
        <f t="shared" si="5"/>
        <v>224</v>
      </c>
      <c r="M209" s="5">
        <f t="shared" si="6"/>
        <v>0</v>
      </c>
      <c r="N209" s="5"/>
      <c r="O209" s="5"/>
      <c r="P209" s="5"/>
      <c r="Q209" s="5"/>
    </row>
    <row r="210">
      <c r="A210" s="5" t="s">
        <v>188</v>
      </c>
      <c r="B210" s="5" t="s">
        <v>134</v>
      </c>
      <c r="C210" s="5" t="s">
        <v>283</v>
      </c>
      <c r="D210" s="5" t="s">
        <v>266</v>
      </c>
      <c r="E210" s="19" t="s">
        <v>324</v>
      </c>
      <c r="F210" s="5">
        <v>85.0</v>
      </c>
      <c r="G210" s="5">
        <v>10.0</v>
      </c>
      <c r="H210" s="7"/>
      <c r="I210" s="8"/>
      <c r="J210" s="5">
        <v>0.0</v>
      </c>
      <c r="K210" s="5">
        <v>0.0</v>
      </c>
      <c r="L210" s="5">
        <f t="shared" si="5"/>
        <v>0</v>
      </c>
      <c r="M210" s="5">
        <f t="shared" si="6"/>
        <v>0</v>
      </c>
      <c r="N210" s="5"/>
      <c r="O210" s="5"/>
      <c r="P210" s="5"/>
      <c r="Q210" s="5"/>
    </row>
    <row r="211">
      <c r="A211" s="5" t="s">
        <v>195</v>
      </c>
      <c r="B211" s="5" t="s">
        <v>134</v>
      </c>
      <c r="C211" s="5" t="s">
        <v>31</v>
      </c>
      <c r="D211" s="8"/>
      <c r="E211" s="19" t="s">
        <v>331</v>
      </c>
      <c r="F211" s="5">
        <v>13.0</v>
      </c>
      <c r="G211" s="5">
        <v>9.0</v>
      </c>
      <c r="H211" s="7"/>
      <c r="I211" s="8"/>
      <c r="J211" s="5">
        <v>0.0</v>
      </c>
      <c r="K211" s="5">
        <v>0.0</v>
      </c>
      <c r="L211" s="5">
        <f t="shared" si="5"/>
        <v>0</v>
      </c>
      <c r="M211" s="5">
        <f t="shared" si="6"/>
        <v>0</v>
      </c>
      <c r="N211" s="5"/>
      <c r="O211" s="5"/>
      <c r="P211" s="5"/>
      <c r="Q211" s="5"/>
    </row>
    <row r="212">
      <c r="A212" s="5" t="s">
        <v>98</v>
      </c>
      <c r="B212" s="5" t="s">
        <v>134</v>
      </c>
      <c r="C212" s="5" t="s">
        <v>31</v>
      </c>
      <c r="D212" s="8"/>
      <c r="E212" s="19" t="s">
        <v>333</v>
      </c>
      <c r="F212" s="5">
        <v>44.0</v>
      </c>
      <c r="G212" s="5">
        <v>9.0</v>
      </c>
      <c r="H212" s="7"/>
      <c r="I212" s="8"/>
      <c r="J212" s="5">
        <v>0.0</v>
      </c>
      <c r="K212" s="5">
        <v>0.0</v>
      </c>
      <c r="L212" s="5">
        <f t="shared" si="5"/>
        <v>0</v>
      </c>
      <c r="M212" s="5">
        <f t="shared" si="6"/>
        <v>0</v>
      </c>
      <c r="N212" s="5"/>
      <c r="O212" s="5"/>
      <c r="P212" s="5"/>
      <c r="Q212" s="5"/>
    </row>
    <row r="213">
      <c r="A213" s="5" t="s">
        <v>334</v>
      </c>
      <c r="B213" s="5" t="s">
        <v>134</v>
      </c>
      <c r="C213" s="5" t="s">
        <v>315</v>
      </c>
      <c r="D213" s="8"/>
      <c r="E213" s="19" t="s">
        <v>333</v>
      </c>
      <c r="F213" s="5">
        <v>21.0</v>
      </c>
      <c r="G213" s="5">
        <v>9.0</v>
      </c>
      <c r="H213" s="7"/>
      <c r="I213" s="8"/>
      <c r="J213" s="5">
        <v>0.0</v>
      </c>
      <c r="K213" s="5">
        <v>0.0</v>
      </c>
      <c r="L213" s="5">
        <f t="shared" si="5"/>
        <v>0</v>
      </c>
      <c r="M213" s="5">
        <f t="shared" si="6"/>
        <v>0</v>
      </c>
      <c r="N213" s="5"/>
      <c r="O213" s="5"/>
      <c r="P213" s="5"/>
      <c r="Q213" s="5"/>
    </row>
    <row r="214">
      <c r="A214" s="5" t="s">
        <v>296</v>
      </c>
      <c r="B214" s="5" t="s">
        <v>124</v>
      </c>
      <c r="C214" s="5" t="s">
        <v>307</v>
      </c>
      <c r="D214" s="5" t="s">
        <v>335</v>
      </c>
      <c r="E214" s="19" t="s">
        <v>333</v>
      </c>
      <c r="F214" s="5">
        <v>110.0</v>
      </c>
      <c r="G214" s="5">
        <v>5.0</v>
      </c>
      <c r="H214" s="7"/>
      <c r="I214" s="8"/>
      <c r="J214" s="5">
        <v>0.0</v>
      </c>
      <c r="K214" s="5">
        <v>0.0</v>
      </c>
      <c r="L214" s="5">
        <f t="shared" si="5"/>
        <v>0</v>
      </c>
      <c r="M214" s="5">
        <f t="shared" si="6"/>
        <v>0</v>
      </c>
      <c r="N214" s="5"/>
      <c r="O214" s="5"/>
      <c r="P214" s="5"/>
      <c r="Q214" s="5"/>
    </row>
    <row r="215">
      <c r="A215" s="5" t="s">
        <v>121</v>
      </c>
      <c r="B215" s="5" t="s">
        <v>32</v>
      </c>
      <c r="C215" s="5" t="s">
        <v>336</v>
      </c>
      <c r="D215" s="5" t="s">
        <v>337</v>
      </c>
      <c r="E215" s="19" t="s">
        <v>338</v>
      </c>
      <c r="F215" s="5">
        <v>85.0</v>
      </c>
      <c r="G215" s="5">
        <v>5.0</v>
      </c>
      <c r="H215" s="7"/>
      <c r="I215" s="8"/>
      <c r="J215" s="5">
        <v>0.0</v>
      </c>
      <c r="K215" s="5">
        <v>0.0</v>
      </c>
      <c r="L215" s="5">
        <f t="shared" si="5"/>
        <v>0</v>
      </c>
      <c r="M215" s="5">
        <f t="shared" si="6"/>
        <v>0</v>
      </c>
      <c r="N215" s="5"/>
      <c r="O215" s="5"/>
      <c r="P215" s="5"/>
      <c r="Q215" s="5"/>
    </row>
    <row r="216">
      <c r="A216" s="5" t="s">
        <v>81</v>
      </c>
      <c r="B216" s="5" t="s">
        <v>124</v>
      </c>
      <c r="C216" s="5" t="s">
        <v>185</v>
      </c>
      <c r="D216" s="5" t="s">
        <v>339</v>
      </c>
      <c r="E216" s="19" t="s">
        <v>338</v>
      </c>
      <c r="F216" s="5">
        <v>40.0</v>
      </c>
      <c r="G216" s="5">
        <v>3.0</v>
      </c>
      <c r="H216" s="7"/>
      <c r="I216" s="8"/>
      <c r="J216" s="5">
        <v>0.0</v>
      </c>
      <c r="K216" s="5">
        <v>80.0</v>
      </c>
      <c r="L216" s="5">
        <f t="shared" si="5"/>
        <v>80</v>
      </c>
      <c r="M216" s="5">
        <f t="shared" si="6"/>
        <v>0</v>
      </c>
      <c r="N216" s="5"/>
      <c r="O216" s="5"/>
      <c r="P216" s="5"/>
      <c r="Q216" s="5"/>
    </row>
    <row r="217">
      <c r="A217" s="5" t="s">
        <v>182</v>
      </c>
      <c r="B217" s="5" t="s">
        <v>209</v>
      </c>
      <c r="C217" s="5" t="s">
        <v>31</v>
      </c>
      <c r="D217" s="8"/>
      <c r="E217" s="19" t="s">
        <v>338</v>
      </c>
      <c r="F217" s="5">
        <v>13.0</v>
      </c>
      <c r="G217" s="5">
        <v>3.0</v>
      </c>
      <c r="H217" s="7"/>
      <c r="I217" s="8"/>
      <c r="J217" s="5">
        <v>0.0</v>
      </c>
      <c r="K217" s="5">
        <v>0.0</v>
      </c>
      <c r="L217" s="5">
        <f t="shared" si="5"/>
        <v>0</v>
      </c>
      <c r="M217" s="5">
        <f t="shared" si="6"/>
        <v>0</v>
      </c>
      <c r="N217" s="5"/>
      <c r="O217" s="5"/>
      <c r="P217" s="5"/>
      <c r="Q217" s="5"/>
    </row>
    <row r="218">
      <c r="A218" s="5" t="s">
        <v>182</v>
      </c>
      <c r="B218" s="5" t="s">
        <v>251</v>
      </c>
      <c r="C218" s="5" t="s">
        <v>31</v>
      </c>
      <c r="D218" s="8"/>
      <c r="E218" s="19" t="s">
        <v>338</v>
      </c>
      <c r="F218" s="5">
        <v>0.0</v>
      </c>
      <c r="G218" s="5">
        <v>3.0</v>
      </c>
      <c r="H218" s="7"/>
      <c r="I218" s="8"/>
      <c r="J218" s="5">
        <v>0.0</v>
      </c>
      <c r="K218" s="5">
        <v>0.0</v>
      </c>
      <c r="L218" s="5">
        <f t="shared" si="5"/>
        <v>0</v>
      </c>
      <c r="M218" s="5">
        <f t="shared" si="6"/>
        <v>0</v>
      </c>
      <c r="N218" s="5"/>
      <c r="O218" s="5"/>
      <c r="P218" s="5"/>
      <c r="Q218" s="5"/>
    </row>
    <row r="219">
      <c r="A219" s="5" t="s">
        <v>81</v>
      </c>
      <c r="B219" s="5" t="s">
        <v>134</v>
      </c>
      <c r="C219" s="5" t="s">
        <v>340</v>
      </c>
      <c r="D219" s="5" t="s">
        <v>341</v>
      </c>
      <c r="E219" s="19" t="s">
        <v>338</v>
      </c>
      <c r="F219" s="5">
        <v>16.0</v>
      </c>
      <c r="G219" s="5">
        <v>9.0</v>
      </c>
      <c r="H219" s="7"/>
      <c r="I219" s="8"/>
      <c r="J219" s="5">
        <v>0.0</v>
      </c>
      <c r="K219" s="5">
        <v>32.0</v>
      </c>
      <c r="L219" s="5">
        <f t="shared" si="5"/>
        <v>32</v>
      </c>
      <c r="M219" s="5">
        <f t="shared" si="6"/>
        <v>0</v>
      </c>
      <c r="N219" s="5"/>
      <c r="O219" s="5"/>
      <c r="P219" s="5"/>
      <c r="Q219" s="5"/>
    </row>
    <row r="220">
      <c r="A220" s="5" t="s">
        <v>195</v>
      </c>
      <c r="B220" s="5" t="s">
        <v>134</v>
      </c>
      <c r="C220" s="5" t="s">
        <v>31</v>
      </c>
      <c r="D220" s="8"/>
      <c r="E220" s="19" t="s">
        <v>309</v>
      </c>
      <c r="F220" s="5">
        <v>13.0</v>
      </c>
      <c r="G220" s="5">
        <v>9.0</v>
      </c>
      <c r="H220" s="7"/>
      <c r="I220" s="8"/>
      <c r="J220" s="5">
        <v>0.0</v>
      </c>
      <c r="K220" s="5">
        <v>0.0</v>
      </c>
      <c r="L220" s="5">
        <f t="shared" si="5"/>
        <v>0</v>
      </c>
      <c r="M220" s="5">
        <f t="shared" si="6"/>
        <v>0</v>
      </c>
      <c r="N220" s="5"/>
      <c r="O220" s="5"/>
      <c r="P220" s="5"/>
      <c r="Q220" s="5"/>
    </row>
    <row r="221">
      <c r="A221" s="5" t="s">
        <v>203</v>
      </c>
      <c r="B221" s="5" t="s">
        <v>134</v>
      </c>
      <c r="C221" s="5" t="s">
        <v>31</v>
      </c>
      <c r="D221" s="8"/>
      <c r="E221" s="19" t="s">
        <v>342</v>
      </c>
      <c r="F221" s="5">
        <v>9.0</v>
      </c>
      <c r="G221" s="5">
        <v>9.0</v>
      </c>
      <c r="H221" s="7"/>
      <c r="I221" s="8"/>
      <c r="J221" s="5">
        <v>0.0</v>
      </c>
      <c r="K221" s="5">
        <v>0.0</v>
      </c>
      <c r="L221" s="5">
        <f t="shared" si="5"/>
        <v>0</v>
      </c>
      <c r="M221" s="5">
        <f t="shared" si="6"/>
        <v>0</v>
      </c>
      <c r="N221" s="5"/>
      <c r="O221" s="5"/>
      <c r="P221" s="5"/>
      <c r="Q221" s="5"/>
    </row>
    <row r="222">
      <c r="A222" s="5" t="s">
        <v>203</v>
      </c>
      <c r="B222" s="5" t="s">
        <v>134</v>
      </c>
      <c r="C222" s="5" t="s">
        <v>343</v>
      </c>
      <c r="D222" s="5" t="s">
        <v>339</v>
      </c>
      <c r="E222" s="19" t="s">
        <v>342</v>
      </c>
      <c r="F222" s="5">
        <v>64.0</v>
      </c>
      <c r="G222" s="5">
        <v>9.0</v>
      </c>
      <c r="H222" s="7"/>
      <c r="I222" s="8"/>
      <c r="J222" s="5">
        <v>0.0</v>
      </c>
      <c r="K222" s="5">
        <v>0.0</v>
      </c>
      <c r="L222" s="5">
        <f t="shared" si="5"/>
        <v>0</v>
      </c>
      <c r="M222" s="5">
        <f t="shared" si="6"/>
        <v>0</v>
      </c>
      <c r="N222" s="5"/>
      <c r="O222" s="5"/>
      <c r="P222" s="5"/>
      <c r="Q222" s="5"/>
    </row>
    <row r="223">
      <c r="A223" s="5" t="s">
        <v>184</v>
      </c>
      <c r="B223" s="5" t="s">
        <v>124</v>
      </c>
      <c r="C223" s="5" t="s">
        <v>344</v>
      </c>
      <c r="D223" s="5" t="s">
        <v>345</v>
      </c>
      <c r="E223" s="19" t="s">
        <v>342</v>
      </c>
      <c r="F223" s="5">
        <v>92.0</v>
      </c>
      <c r="G223" s="5">
        <v>5.0</v>
      </c>
      <c r="H223" s="7"/>
      <c r="I223" s="8"/>
      <c r="J223" s="5">
        <v>0.0</v>
      </c>
      <c r="K223" s="5">
        <v>0.0</v>
      </c>
      <c r="L223" s="5">
        <f t="shared" si="5"/>
        <v>0</v>
      </c>
      <c r="M223" s="5">
        <f t="shared" si="6"/>
        <v>0</v>
      </c>
      <c r="N223" s="5"/>
      <c r="O223" s="5"/>
      <c r="P223" s="5"/>
      <c r="Q223" s="5"/>
    </row>
    <row r="224">
      <c r="A224" s="5" t="s">
        <v>54</v>
      </c>
      <c r="B224" s="5" t="s">
        <v>316</v>
      </c>
      <c r="C224" s="5" t="s">
        <v>317</v>
      </c>
      <c r="D224" s="5" t="s">
        <v>198</v>
      </c>
      <c r="E224" s="19" t="s">
        <v>342</v>
      </c>
      <c r="F224" s="5">
        <v>50.0</v>
      </c>
      <c r="G224" s="5">
        <v>1.0</v>
      </c>
      <c r="H224" s="7"/>
      <c r="I224" s="8"/>
      <c r="J224" s="5">
        <v>0.0</v>
      </c>
      <c r="K224" s="5">
        <v>0.0</v>
      </c>
      <c r="L224" s="5">
        <f t="shared" si="5"/>
        <v>0</v>
      </c>
      <c r="M224" s="5">
        <f t="shared" si="6"/>
        <v>0</v>
      </c>
      <c r="N224" s="5"/>
      <c r="O224" s="5"/>
      <c r="P224" s="5"/>
      <c r="Q224" s="5"/>
    </row>
    <row r="225">
      <c r="A225" s="5" t="s">
        <v>54</v>
      </c>
      <c r="B225" s="5" t="s">
        <v>209</v>
      </c>
      <c r="C225" s="5" t="s">
        <v>210</v>
      </c>
      <c r="D225" s="5" t="s">
        <v>236</v>
      </c>
      <c r="E225" s="19" t="s">
        <v>342</v>
      </c>
      <c r="F225" s="5">
        <v>50.0</v>
      </c>
      <c r="G225" s="5">
        <v>1.0</v>
      </c>
      <c r="H225" s="7"/>
      <c r="I225" s="8"/>
      <c r="J225" s="5">
        <v>0.0</v>
      </c>
      <c r="K225" s="5">
        <v>0.0</v>
      </c>
      <c r="L225" s="5">
        <f t="shared" si="5"/>
        <v>0</v>
      </c>
      <c r="M225" s="5">
        <f t="shared" si="6"/>
        <v>0</v>
      </c>
      <c r="N225" s="5"/>
      <c r="O225" s="5"/>
      <c r="P225" s="5"/>
      <c r="Q225" s="5"/>
    </row>
    <row r="226">
      <c r="A226" s="5" t="s">
        <v>54</v>
      </c>
      <c r="B226" s="5" t="s">
        <v>209</v>
      </c>
      <c r="C226" s="5" t="s">
        <v>210</v>
      </c>
      <c r="D226" s="5" t="s">
        <v>211</v>
      </c>
      <c r="E226" s="18">
        <v>44937.0</v>
      </c>
      <c r="F226" s="5">
        <v>98.0</v>
      </c>
      <c r="G226" s="5">
        <v>1.0</v>
      </c>
      <c r="H226" s="7"/>
      <c r="I226" s="8"/>
      <c r="J226" s="5">
        <v>0.0</v>
      </c>
      <c r="K226" s="5">
        <v>0.0</v>
      </c>
      <c r="L226" s="5">
        <f t="shared" si="5"/>
        <v>0</v>
      </c>
      <c r="M226" s="5">
        <f t="shared" si="6"/>
        <v>0</v>
      </c>
      <c r="N226" s="5"/>
      <c r="O226" s="5"/>
      <c r="P226" s="5"/>
      <c r="Q226" s="5"/>
    </row>
    <row r="227">
      <c r="A227" s="5" t="s">
        <v>105</v>
      </c>
      <c r="B227" s="5" t="s">
        <v>32</v>
      </c>
      <c r="C227" s="5" t="s">
        <v>346</v>
      </c>
      <c r="D227" s="5" t="s">
        <v>347</v>
      </c>
      <c r="E227" s="13">
        <v>44937.0</v>
      </c>
      <c r="F227" s="5">
        <v>363.0</v>
      </c>
      <c r="G227" s="5">
        <v>8.0</v>
      </c>
      <c r="H227" s="7"/>
      <c r="I227" s="8"/>
      <c r="J227" s="5">
        <v>0.0</v>
      </c>
      <c r="K227" s="5">
        <v>0.0</v>
      </c>
      <c r="L227" s="5">
        <f t="shared" si="5"/>
        <v>0</v>
      </c>
      <c r="M227" s="5">
        <f t="shared" si="6"/>
        <v>0</v>
      </c>
      <c r="N227" s="5"/>
      <c r="O227" s="5"/>
      <c r="P227" s="5"/>
      <c r="Q227" s="5"/>
    </row>
    <row r="228">
      <c r="A228" s="5" t="s">
        <v>105</v>
      </c>
      <c r="B228" s="5" t="s">
        <v>32</v>
      </c>
      <c r="C228" s="5" t="s">
        <v>348</v>
      </c>
      <c r="D228" s="5" t="s">
        <v>349</v>
      </c>
      <c r="E228" s="13">
        <v>44937.0</v>
      </c>
      <c r="F228" s="5">
        <v>168.0</v>
      </c>
      <c r="G228" s="5">
        <v>8.0</v>
      </c>
      <c r="H228" s="7"/>
      <c r="I228" s="8"/>
      <c r="J228" s="5">
        <v>0.0</v>
      </c>
      <c r="K228" s="5">
        <v>0.0</v>
      </c>
      <c r="L228" s="5">
        <f t="shared" si="5"/>
        <v>0</v>
      </c>
      <c r="M228" s="5">
        <f t="shared" si="6"/>
        <v>0</v>
      </c>
      <c r="N228" s="5"/>
      <c r="O228" s="5"/>
      <c r="P228" s="5"/>
      <c r="Q228" s="5"/>
    </row>
    <row r="229">
      <c r="A229" s="5" t="s">
        <v>105</v>
      </c>
      <c r="B229" s="5" t="s">
        <v>32</v>
      </c>
      <c r="C229" s="5" t="s">
        <v>350</v>
      </c>
      <c r="D229" s="5" t="s">
        <v>266</v>
      </c>
      <c r="E229" s="13">
        <v>44937.0</v>
      </c>
      <c r="F229" s="5">
        <v>121.0</v>
      </c>
      <c r="G229" s="5">
        <v>8.0</v>
      </c>
      <c r="H229" s="7"/>
      <c r="I229" s="8"/>
      <c r="J229" s="5">
        <v>0.0</v>
      </c>
      <c r="K229" s="5">
        <v>0.0</v>
      </c>
      <c r="L229" s="5">
        <f t="shared" si="5"/>
        <v>0</v>
      </c>
      <c r="M229" s="5">
        <f t="shared" si="6"/>
        <v>0</v>
      </c>
      <c r="N229" s="5"/>
      <c r="O229" s="5"/>
      <c r="P229" s="5"/>
      <c r="Q229" s="5"/>
    </row>
    <row r="230">
      <c r="A230" s="5" t="s">
        <v>105</v>
      </c>
      <c r="B230" s="5" t="s">
        <v>32</v>
      </c>
      <c r="C230" s="5" t="s">
        <v>351</v>
      </c>
      <c r="D230" s="5" t="s">
        <v>221</v>
      </c>
      <c r="E230" s="6"/>
      <c r="F230" s="5">
        <v>301.0</v>
      </c>
      <c r="G230" s="5">
        <v>8.0</v>
      </c>
      <c r="H230" s="7"/>
      <c r="I230" s="8"/>
      <c r="J230" s="5">
        <v>0.0</v>
      </c>
      <c r="K230" s="5">
        <v>0.0</v>
      </c>
      <c r="L230" s="5">
        <f t="shared" si="5"/>
        <v>0</v>
      </c>
      <c r="M230" s="5">
        <f t="shared" si="6"/>
        <v>0</v>
      </c>
      <c r="N230" s="5"/>
      <c r="O230" s="5"/>
      <c r="P230" s="5"/>
      <c r="Q230" s="5"/>
    </row>
    <row r="231">
      <c r="A231" s="5" t="s">
        <v>105</v>
      </c>
      <c r="B231" s="5" t="s">
        <v>32</v>
      </c>
      <c r="C231" s="5" t="s">
        <v>352</v>
      </c>
      <c r="D231" s="5" t="s">
        <v>228</v>
      </c>
      <c r="E231" s="6"/>
      <c r="F231" s="5">
        <v>131.0</v>
      </c>
      <c r="G231" s="5">
        <v>8.0</v>
      </c>
      <c r="H231" s="7"/>
      <c r="I231" s="8"/>
      <c r="J231" s="5">
        <v>0.0</v>
      </c>
      <c r="K231" s="5">
        <v>0.0</v>
      </c>
      <c r="L231" s="5">
        <f t="shared" si="5"/>
        <v>0</v>
      </c>
      <c r="M231" s="5">
        <f t="shared" si="6"/>
        <v>0</v>
      </c>
      <c r="N231" s="5"/>
      <c r="O231" s="5"/>
      <c r="P231" s="5"/>
      <c r="Q231" s="5"/>
    </row>
    <row r="232">
      <c r="A232" s="5" t="s">
        <v>105</v>
      </c>
      <c r="B232" s="5" t="s">
        <v>134</v>
      </c>
      <c r="C232" s="5" t="s">
        <v>353</v>
      </c>
      <c r="D232" s="5" t="s">
        <v>256</v>
      </c>
      <c r="E232" s="6"/>
      <c r="F232" s="5">
        <v>422.0</v>
      </c>
      <c r="G232" s="5" t="s">
        <v>354</v>
      </c>
      <c r="H232" s="7"/>
      <c r="I232" s="8"/>
      <c r="J232" s="5">
        <v>0.0</v>
      </c>
      <c r="K232" s="5">
        <v>0.0</v>
      </c>
      <c r="L232" s="5">
        <f t="shared" si="5"/>
        <v>0</v>
      </c>
      <c r="M232" s="5">
        <f t="shared" si="6"/>
        <v>0</v>
      </c>
      <c r="N232" s="5"/>
      <c r="O232" s="5"/>
      <c r="P232" s="5"/>
      <c r="Q232" s="5"/>
    </row>
    <row r="233">
      <c r="A233" s="5" t="s">
        <v>81</v>
      </c>
      <c r="B233" s="5" t="s">
        <v>134</v>
      </c>
      <c r="C233" s="5" t="s">
        <v>283</v>
      </c>
      <c r="D233" s="5" t="s">
        <v>200</v>
      </c>
      <c r="E233" s="13">
        <v>44968.0</v>
      </c>
      <c r="F233" s="5">
        <v>25.0</v>
      </c>
      <c r="G233" s="5">
        <v>9.0</v>
      </c>
      <c r="H233" s="7"/>
      <c r="I233" s="8"/>
      <c r="J233" s="5">
        <v>0.0</v>
      </c>
      <c r="K233" s="5">
        <v>50.0</v>
      </c>
      <c r="L233" s="5">
        <f t="shared" si="5"/>
        <v>50</v>
      </c>
      <c r="M233" s="5">
        <f t="shared" si="6"/>
        <v>0</v>
      </c>
      <c r="N233" s="5"/>
      <c r="O233" s="5"/>
      <c r="P233" s="5"/>
      <c r="Q233" s="5"/>
    </row>
    <row r="234">
      <c r="A234" s="5" t="s">
        <v>54</v>
      </c>
      <c r="B234" s="5" t="s">
        <v>316</v>
      </c>
      <c r="C234" s="5" t="s">
        <v>317</v>
      </c>
      <c r="D234" s="5" t="s">
        <v>198</v>
      </c>
      <c r="E234" s="13">
        <v>44968.0</v>
      </c>
      <c r="F234" s="5">
        <v>130.0</v>
      </c>
      <c r="G234" s="5">
        <v>1.0</v>
      </c>
      <c r="H234" s="7"/>
      <c r="I234" s="8"/>
      <c r="J234" s="5">
        <v>0.0</v>
      </c>
      <c r="K234" s="5">
        <v>0.0</v>
      </c>
      <c r="L234" s="5">
        <f t="shared" si="5"/>
        <v>0</v>
      </c>
      <c r="M234" s="5">
        <f t="shared" si="6"/>
        <v>0</v>
      </c>
      <c r="N234" s="5"/>
      <c r="O234" s="5"/>
      <c r="P234" s="5"/>
      <c r="Q234" s="5"/>
    </row>
    <row r="235">
      <c r="A235" s="5" t="s">
        <v>98</v>
      </c>
      <c r="B235" s="5" t="s">
        <v>124</v>
      </c>
      <c r="C235" s="5" t="s">
        <v>31</v>
      </c>
      <c r="D235" s="5" t="s">
        <v>236</v>
      </c>
      <c r="E235" s="13">
        <v>45027.0</v>
      </c>
      <c r="F235" s="5">
        <v>35.0</v>
      </c>
      <c r="G235" s="5">
        <v>8.0</v>
      </c>
      <c r="H235" s="7"/>
      <c r="I235" s="8"/>
      <c r="J235" s="5">
        <v>0.0</v>
      </c>
      <c r="K235" s="5">
        <v>0.0</v>
      </c>
      <c r="L235" s="5">
        <f t="shared" si="5"/>
        <v>0</v>
      </c>
      <c r="M235" s="5">
        <f t="shared" si="6"/>
        <v>0</v>
      </c>
      <c r="N235" s="5"/>
      <c r="O235" s="5"/>
      <c r="P235" s="5"/>
      <c r="Q235" s="5"/>
    </row>
    <row r="236">
      <c r="A236" s="5" t="s">
        <v>98</v>
      </c>
      <c r="B236" s="5" t="s">
        <v>124</v>
      </c>
      <c r="C236" s="5" t="s">
        <v>31</v>
      </c>
      <c r="D236" s="5" t="s">
        <v>236</v>
      </c>
      <c r="E236" s="13">
        <v>45027.0</v>
      </c>
      <c r="F236" s="5">
        <v>2.0</v>
      </c>
      <c r="G236" s="5">
        <v>8.0</v>
      </c>
      <c r="H236" s="7"/>
      <c r="I236" s="8"/>
      <c r="J236" s="5">
        <v>0.0</v>
      </c>
      <c r="K236" s="5">
        <v>0.0</v>
      </c>
      <c r="L236" s="5">
        <f t="shared" si="5"/>
        <v>0</v>
      </c>
      <c r="M236" s="5">
        <f t="shared" si="6"/>
        <v>0</v>
      </c>
      <c r="N236" s="5"/>
      <c r="O236" s="5"/>
      <c r="P236" s="5"/>
      <c r="Q236" s="5"/>
    </row>
    <row r="237">
      <c r="A237" s="5" t="s">
        <v>54</v>
      </c>
      <c r="B237" s="5" t="s">
        <v>251</v>
      </c>
      <c r="C237" s="5" t="s">
        <v>120</v>
      </c>
      <c r="D237" s="5" t="s">
        <v>318</v>
      </c>
      <c r="E237" s="13">
        <v>45057.0</v>
      </c>
      <c r="F237" s="5">
        <v>200.0</v>
      </c>
      <c r="G237" s="5">
        <v>6.0</v>
      </c>
      <c r="H237" s="7"/>
      <c r="I237" s="8"/>
      <c r="J237" s="5">
        <v>0.0</v>
      </c>
      <c r="K237" s="5">
        <v>0.0</v>
      </c>
      <c r="L237" s="5">
        <f t="shared" si="5"/>
        <v>0</v>
      </c>
      <c r="M237" s="5">
        <f t="shared" si="6"/>
        <v>0</v>
      </c>
      <c r="N237" s="5"/>
      <c r="O237" s="5"/>
      <c r="P237" s="5"/>
      <c r="Q237" s="5"/>
    </row>
    <row r="238">
      <c r="A238" s="5" t="s">
        <v>54</v>
      </c>
      <c r="B238" s="5" t="s">
        <v>124</v>
      </c>
      <c r="C238" s="5" t="s">
        <v>130</v>
      </c>
      <c r="D238" s="5" t="s">
        <v>355</v>
      </c>
      <c r="E238" s="13">
        <v>45057.0</v>
      </c>
      <c r="F238" s="5">
        <v>332.0</v>
      </c>
      <c r="G238" s="5">
        <v>10.0</v>
      </c>
      <c r="H238" s="7"/>
      <c r="I238" s="8"/>
      <c r="J238" s="5">
        <v>0.0</v>
      </c>
      <c r="K238" s="5">
        <v>0.0</v>
      </c>
      <c r="L238" s="5">
        <f t="shared" si="5"/>
        <v>0</v>
      </c>
      <c r="M238" s="5">
        <f t="shared" si="6"/>
        <v>0</v>
      </c>
      <c r="N238" s="5"/>
      <c r="O238" s="5"/>
      <c r="P238" s="5"/>
      <c r="Q238" s="5"/>
    </row>
    <row r="239">
      <c r="A239" s="5" t="s">
        <v>98</v>
      </c>
      <c r="B239" s="5" t="s">
        <v>124</v>
      </c>
      <c r="C239" s="5" t="s">
        <v>31</v>
      </c>
      <c r="D239" s="5" t="s">
        <v>356</v>
      </c>
      <c r="E239" s="13">
        <v>45057.0</v>
      </c>
      <c r="F239" s="5">
        <v>12.0</v>
      </c>
      <c r="G239" s="5">
        <v>3.0</v>
      </c>
      <c r="H239" s="7"/>
      <c r="I239" s="8"/>
      <c r="J239" s="5">
        <v>0.0</v>
      </c>
      <c r="K239" s="5">
        <v>0.0</v>
      </c>
      <c r="L239" s="5">
        <f t="shared" si="5"/>
        <v>0</v>
      </c>
      <c r="M239" s="5">
        <f t="shared" si="6"/>
        <v>0</v>
      </c>
      <c r="N239" s="5"/>
      <c r="O239" s="5"/>
      <c r="P239" s="5"/>
      <c r="Q239" s="5"/>
    </row>
    <row r="240">
      <c r="A240" s="5" t="s">
        <v>81</v>
      </c>
      <c r="B240" s="5" t="s">
        <v>134</v>
      </c>
      <c r="C240" s="5" t="s">
        <v>357</v>
      </c>
      <c r="D240" s="5" t="s">
        <v>294</v>
      </c>
      <c r="E240" s="13">
        <v>45118.0</v>
      </c>
      <c r="F240" s="5">
        <v>48.0</v>
      </c>
      <c r="G240" s="5">
        <v>9.0</v>
      </c>
      <c r="H240" s="7"/>
      <c r="I240" s="8"/>
      <c r="J240" s="5">
        <v>0.0</v>
      </c>
      <c r="K240" s="5">
        <v>96.0</v>
      </c>
      <c r="L240" s="5">
        <f t="shared" si="5"/>
        <v>96</v>
      </c>
      <c r="M240" s="5">
        <f t="shared" si="6"/>
        <v>0</v>
      </c>
      <c r="N240" s="5"/>
      <c r="O240" s="5"/>
      <c r="P240" s="5"/>
      <c r="Q240" s="5"/>
    </row>
    <row r="241">
      <c r="A241" s="5" t="s">
        <v>98</v>
      </c>
      <c r="B241" s="5" t="s">
        <v>134</v>
      </c>
      <c r="C241" s="5" t="s">
        <v>31</v>
      </c>
      <c r="D241" s="5" t="s">
        <v>356</v>
      </c>
      <c r="E241" s="13">
        <v>45088.0</v>
      </c>
      <c r="F241" s="5">
        <v>25.0</v>
      </c>
      <c r="G241" s="5">
        <v>9.0</v>
      </c>
      <c r="H241" s="7"/>
      <c r="I241" s="8"/>
      <c r="J241" s="5">
        <v>0.0</v>
      </c>
      <c r="K241" s="5">
        <v>0.0</v>
      </c>
      <c r="L241" s="5">
        <f t="shared" si="5"/>
        <v>0</v>
      </c>
      <c r="M241" s="5">
        <f t="shared" si="6"/>
        <v>0</v>
      </c>
      <c r="N241" s="5"/>
      <c r="O241" s="5"/>
      <c r="P241" s="5"/>
      <c r="Q241" s="5"/>
    </row>
    <row r="242">
      <c r="A242" s="5" t="s">
        <v>182</v>
      </c>
      <c r="B242" s="5" t="s">
        <v>134</v>
      </c>
      <c r="C242" s="5" t="s">
        <v>283</v>
      </c>
      <c r="D242" s="5" t="s">
        <v>341</v>
      </c>
      <c r="E242" s="13">
        <v>45118.0</v>
      </c>
      <c r="F242" s="5">
        <v>16.0</v>
      </c>
      <c r="G242" s="5">
        <v>9.0</v>
      </c>
      <c r="H242" s="7"/>
      <c r="I242" s="8"/>
      <c r="J242" s="5">
        <v>0.0</v>
      </c>
      <c r="K242" s="5">
        <v>0.0</v>
      </c>
      <c r="L242" s="5">
        <f t="shared" si="5"/>
        <v>0</v>
      </c>
      <c r="M242" s="5">
        <f t="shared" si="6"/>
        <v>0</v>
      </c>
      <c r="N242" s="5"/>
      <c r="O242" s="5"/>
      <c r="P242" s="5"/>
      <c r="Q242" s="5"/>
    </row>
    <row r="243">
      <c r="A243" s="5" t="s">
        <v>78</v>
      </c>
      <c r="B243" s="5" t="s">
        <v>79</v>
      </c>
      <c r="C243" s="5" t="s">
        <v>80</v>
      </c>
      <c r="D243" s="5" t="s">
        <v>240</v>
      </c>
      <c r="E243" s="13">
        <v>45149.0</v>
      </c>
      <c r="F243" s="5">
        <v>69.0</v>
      </c>
      <c r="G243" s="5">
        <v>9.0</v>
      </c>
      <c r="H243" s="7"/>
      <c r="I243" s="8"/>
      <c r="J243" s="5">
        <v>0.0</v>
      </c>
      <c r="K243" s="5">
        <v>0.0</v>
      </c>
      <c r="L243" s="5">
        <f t="shared" si="5"/>
        <v>0</v>
      </c>
      <c r="M243" s="5">
        <f t="shared" si="6"/>
        <v>0</v>
      </c>
      <c r="N243" s="5"/>
      <c r="O243" s="5"/>
      <c r="P243" s="5"/>
      <c r="Q243" s="5"/>
    </row>
    <row r="244">
      <c r="A244" s="5" t="s">
        <v>54</v>
      </c>
      <c r="B244" s="5" t="s">
        <v>316</v>
      </c>
      <c r="C244" s="5" t="s">
        <v>317</v>
      </c>
      <c r="D244" s="5" t="s">
        <v>318</v>
      </c>
      <c r="E244" s="13">
        <v>45149.0</v>
      </c>
      <c r="F244" s="5">
        <v>200.0</v>
      </c>
      <c r="G244" s="5">
        <v>6.0</v>
      </c>
      <c r="H244" s="7"/>
      <c r="I244" s="8"/>
      <c r="J244" s="5">
        <v>0.0</v>
      </c>
      <c r="K244" s="5">
        <v>0.0</v>
      </c>
      <c r="L244" s="5">
        <f t="shared" si="5"/>
        <v>0</v>
      </c>
      <c r="M244" s="5">
        <f t="shared" si="6"/>
        <v>0</v>
      </c>
      <c r="N244" s="5"/>
      <c r="O244" s="5"/>
      <c r="P244" s="5"/>
      <c r="Q244" s="5"/>
    </row>
    <row r="245">
      <c r="A245" s="5" t="s">
        <v>358</v>
      </c>
      <c r="B245" s="5" t="s">
        <v>124</v>
      </c>
      <c r="C245" s="5" t="s">
        <v>359</v>
      </c>
      <c r="D245" s="5" t="s">
        <v>360</v>
      </c>
      <c r="E245" s="13">
        <v>45149.0</v>
      </c>
      <c r="F245" s="5">
        <v>248.0</v>
      </c>
      <c r="G245" s="5" t="s">
        <v>361</v>
      </c>
      <c r="H245" s="7"/>
      <c r="I245" s="8"/>
      <c r="J245" s="5">
        <v>0.0</v>
      </c>
      <c r="K245" s="5">
        <v>0.0</v>
      </c>
      <c r="L245" s="5">
        <f t="shared" si="5"/>
        <v>0</v>
      </c>
      <c r="M245" s="5">
        <f t="shared" si="6"/>
        <v>0</v>
      </c>
      <c r="N245" s="5"/>
      <c r="O245" s="5"/>
      <c r="P245" s="5"/>
      <c r="Q245" s="5"/>
    </row>
    <row r="246">
      <c r="A246" s="5" t="s">
        <v>170</v>
      </c>
      <c r="B246" s="5" t="s">
        <v>124</v>
      </c>
      <c r="C246" s="5" t="s">
        <v>220</v>
      </c>
      <c r="D246" s="5" t="s">
        <v>362</v>
      </c>
      <c r="E246" s="13">
        <v>45271.0</v>
      </c>
      <c r="F246" s="5">
        <v>60.0</v>
      </c>
      <c r="G246" s="5">
        <v>3.0</v>
      </c>
      <c r="H246" s="7"/>
      <c r="I246" s="8"/>
      <c r="J246" s="5">
        <v>0.0</v>
      </c>
      <c r="K246" s="5">
        <v>0.0</v>
      </c>
      <c r="L246" s="5">
        <f t="shared" si="5"/>
        <v>0</v>
      </c>
      <c r="M246" s="5">
        <f t="shared" si="6"/>
        <v>0</v>
      </c>
      <c r="N246" s="5"/>
      <c r="O246" s="5"/>
      <c r="P246" s="5"/>
      <c r="Q246" s="5"/>
    </row>
    <row r="247">
      <c r="A247" s="5" t="s">
        <v>182</v>
      </c>
      <c r="B247" s="5" t="s">
        <v>124</v>
      </c>
      <c r="C247" s="5" t="s">
        <v>31</v>
      </c>
      <c r="D247" s="8"/>
      <c r="E247" s="13">
        <v>45271.0</v>
      </c>
      <c r="F247" s="5">
        <v>18.0</v>
      </c>
      <c r="G247" s="5">
        <v>3.0</v>
      </c>
      <c r="H247" s="7"/>
      <c r="I247" s="8"/>
      <c r="J247" s="5">
        <v>0.0</v>
      </c>
      <c r="K247" s="5">
        <v>0.0</v>
      </c>
      <c r="L247" s="5">
        <f t="shared" si="5"/>
        <v>0</v>
      </c>
      <c r="M247" s="5">
        <f t="shared" si="6"/>
        <v>0</v>
      </c>
      <c r="N247" s="5"/>
      <c r="O247" s="5"/>
      <c r="P247" s="5"/>
      <c r="Q247" s="5"/>
    </row>
    <row r="248">
      <c r="A248" s="5" t="s">
        <v>182</v>
      </c>
      <c r="B248" s="5" t="s">
        <v>134</v>
      </c>
      <c r="C248" s="5">
        <v>104.0</v>
      </c>
      <c r="D248" s="5" t="s">
        <v>149</v>
      </c>
      <c r="E248" s="13">
        <v>45271.0</v>
      </c>
      <c r="F248" s="5">
        <v>49.0</v>
      </c>
      <c r="G248" s="5">
        <v>3.0</v>
      </c>
      <c r="H248" s="7"/>
      <c r="I248" s="8"/>
      <c r="J248" s="5">
        <v>0.0</v>
      </c>
      <c r="K248" s="5">
        <v>0.0</v>
      </c>
      <c r="L248" s="5">
        <f t="shared" si="5"/>
        <v>0</v>
      </c>
      <c r="M248" s="5">
        <f t="shared" si="6"/>
        <v>0</v>
      </c>
      <c r="N248" s="5"/>
      <c r="O248" s="5"/>
      <c r="P248" s="5"/>
      <c r="Q248" s="5"/>
    </row>
    <row r="249">
      <c r="A249" s="5" t="s">
        <v>146</v>
      </c>
      <c r="B249" s="5" t="s">
        <v>134</v>
      </c>
      <c r="C249" s="5" t="s">
        <v>363</v>
      </c>
      <c r="D249" s="5" t="s">
        <v>364</v>
      </c>
      <c r="E249" s="19" t="s">
        <v>365</v>
      </c>
      <c r="F249" s="5">
        <v>48.0</v>
      </c>
      <c r="G249" s="5">
        <v>9.0</v>
      </c>
      <c r="H249" s="7"/>
      <c r="I249" s="8"/>
      <c r="J249" s="5">
        <v>0.0</v>
      </c>
      <c r="K249" s="5">
        <v>0.0</v>
      </c>
      <c r="L249" s="5">
        <f t="shared" si="5"/>
        <v>0</v>
      </c>
      <c r="M249" s="5">
        <f t="shared" si="6"/>
        <v>0</v>
      </c>
      <c r="N249" s="5"/>
      <c r="O249" s="5"/>
      <c r="P249" s="5"/>
      <c r="Q249" s="5"/>
    </row>
    <row r="250">
      <c r="A250" s="5" t="s">
        <v>78</v>
      </c>
      <c r="B250" s="5" t="s">
        <v>79</v>
      </c>
      <c r="C250" s="5" t="s">
        <v>80</v>
      </c>
      <c r="D250" s="5" t="s">
        <v>240</v>
      </c>
      <c r="E250" s="19" t="s">
        <v>366</v>
      </c>
      <c r="F250" s="5">
        <v>63.0</v>
      </c>
      <c r="G250" s="5">
        <v>9.0</v>
      </c>
      <c r="H250" s="7"/>
      <c r="I250" s="8"/>
      <c r="J250" s="5">
        <v>0.0</v>
      </c>
      <c r="K250" s="5">
        <v>0.0</v>
      </c>
      <c r="L250" s="5">
        <f t="shared" si="5"/>
        <v>0</v>
      </c>
      <c r="M250" s="5">
        <f t="shared" si="6"/>
        <v>0</v>
      </c>
      <c r="N250" s="5"/>
      <c r="O250" s="5"/>
      <c r="P250" s="5"/>
      <c r="Q250" s="5"/>
    </row>
    <row r="251">
      <c r="A251" s="5" t="s">
        <v>367</v>
      </c>
      <c r="B251" s="5" t="s">
        <v>368</v>
      </c>
      <c r="C251" s="5" t="s">
        <v>31</v>
      </c>
      <c r="D251" s="5"/>
      <c r="E251" s="19" t="s">
        <v>369</v>
      </c>
      <c r="F251" s="5">
        <v>22.0</v>
      </c>
      <c r="G251" s="5">
        <v>9.0</v>
      </c>
      <c r="H251" s="7"/>
      <c r="I251" s="8"/>
      <c r="J251" s="5">
        <v>0.0</v>
      </c>
      <c r="K251" s="5">
        <v>0.0</v>
      </c>
      <c r="L251" s="5">
        <f t="shared" si="5"/>
        <v>0</v>
      </c>
      <c r="M251" s="5">
        <f t="shared" si="6"/>
        <v>0</v>
      </c>
      <c r="N251" s="5"/>
      <c r="O251" s="5"/>
      <c r="P251" s="5"/>
      <c r="Q251" s="5"/>
    </row>
    <row r="252">
      <c r="A252" s="5" t="s">
        <v>54</v>
      </c>
      <c r="B252" s="5" t="s">
        <v>370</v>
      </c>
      <c r="C252" s="5"/>
      <c r="D252" s="5"/>
      <c r="E252" s="19" t="s">
        <v>369</v>
      </c>
      <c r="F252" s="5">
        <v>150.0</v>
      </c>
      <c r="G252" s="5">
        <v>5.0</v>
      </c>
      <c r="H252" s="7"/>
      <c r="I252" s="8"/>
      <c r="J252" s="5">
        <v>0.0</v>
      </c>
      <c r="K252" s="5">
        <v>0.0</v>
      </c>
      <c r="L252" s="5">
        <f t="shared" si="5"/>
        <v>0</v>
      </c>
      <c r="M252" s="5">
        <f t="shared" si="6"/>
        <v>0</v>
      </c>
      <c r="N252" s="5"/>
      <c r="O252" s="5"/>
      <c r="P252" s="5"/>
      <c r="Q252" s="5"/>
    </row>
    <row r="253">
      <c r="A253" s="5" t="s">
        <v>54</v>
      </c>
      <c r="B253" s="5" t="s">
        <v>177</v>
      </c>
      <c r="C253" s="5"/>
      <c r="D253" s="5"/>
      <c r="E253" s="19" t="s">
        <v>369</v>
      </c>
      <c r="F253" s="5">
        <v>30.0</v>
      </c>
      <c r="G253" s="5">
        <v>9.0</v>
      </c>
      <c r="H253" s="7"/>
      <c r="I253" s="8"/>
      <c r="J253" s="5">
        <v>0.0</v>
      </c>
      <c r="K253" s="5">
        <v>0.0</v>
      </c>
      <c r="L253" s="5">
        <f t="shared" si="5"/>
        <v>0</v>
      </c>
      <c r="M253" s="5">
        <f t="shared" si="6"/>
        <v>0</v>
      </c>
      <c r="N253" s="5"/>
      <c r="O253" s="5"/>
      <c r="P253" s="5"/>
      <c r="Q253" s="5"/>
    </row>
    <row r="254">
      <c r="A254" s="5" t="s">
        <v>54</v>
      </c>
      <c r="B254" s="5" t="s">
        <v>371</v>
      </c>
      <c r="C254" s="5"/>
      <c r="D254" s="5"/>
      <c r="E254" s="19" t="s">
        <v>369</v>
      </c>
      <c r="F254" s="5">
        <v>250.0</v>
      </c>
      <c r="G254" s="5">
        <v>9.0</v>
      </c>
      <c r="H254" s="7"/>
      <c r="I254" s="8"/>
      <c r="J254" s="5">
        <v>0.0</v>
      </c>
      <c r="K254" s="5">
        <v>0.0</v>
      </c>
      <c r="L254" s="5">
        <f t="shared" si="5"/>
        <v>0</v>
      </c>
      <c r="M254" s="5">
        <f t="shared" si="6"/>
        <v>0</v>
      </c>
      <c r="N254" s="5"/>
      <c r="O254" s="5"/>
      <c r="P254" s="5"/>
      <c r="Q254" s="5"/>
    </row>
    <row r="255">
      <c r="A255" s="5" t="s">
        <v>372</v>
      </c>
      <c r="B255" s="5" t="s">
        <v>134</v>
      </c>
      <c r="C255" s="5">
        <v>12.0</v>
      </c>
      <c r="D255" s="5" t="s">
        <v>373</v>
      </c>
      <c r="E255" s="19" t="s">
        <v>374</v>
      </c>
      <c r="F255" s="5">
        <v>72.0</v>
      </c>
      <c r="G255" s="5">
        <v>9.0</v>
      </c>
      <c r="H255" s="7"/>
      <c r="I255" s="8"/>
      <c r="J255" s="5">
        <v>0.0</v>
      </c>
      <c r="K255" s="5">
        <v>0.0</v>
      </c>
      <c r="L255" s="5">
        <f t="shared" si="5"/>
        <v>0</v>
      </c>
      <c r="M255" s="5">
        <f t="shared" si="6"/>
        <v>0</v>
      </c>
      <c r="N255" s="5"/>
      <c r="O255" s="5"/>
      <c r="P255" s="5"/>
      <c r="Q255" s="5"/>
    </row>
    <row r="256">
      <c r="A256" s="5" t="s">
        <v>372</v>
      </c>
      <c r="B256" s="5" t="s">
        <v>134</v>
      </c>
      <c r="C256" s="5" t="s">
        <v>31</v>
      </c>
      <c r="D256" s="5"/>
      <c r="E256" s="19" t="s">
        <v>374</v>
      </c>
      <c r="F256" s="5">
        <v>12.0</v>
      </c>
      <c r="G256" s="5">
        <v>9.0</v>
      </c>
      <c r="H256" s="7"/>
      <c r="I256" s="8"/>
      <c r="J256" s="5">
        <v>0.0</v>
      </c>
      <c r="K256" s="5">
        <v>0.0</v>
      </c>
      <c r="L256" s="5">
        <f t="shared" si="5"/>
        <v>0</v>
      </c>
      <c r="M256" s="5">
        <f t="shared" si="6"/>
        <v>0</v>
      </c>
      <c r="N256" s="5"/>
      <c r="O256" s="5"/>
      <c r="P256" s="5"/>
      <c r="Q256" s="5"/>
    </row>
    <row r="257">
      <c r="A257" s="5" t="s">
        <v>54</v>
      </c>
      <c r="B257" s="5" t="s">
        <v>124</v>
      </c>
      <c r="C257" s="5" t="s">
        <v>327</v>
      </c>
      <c r="D257" s="5" t="s">
        <v>375</v>
      </c>
      <c r="E257" s="19" t="s">
        <v>369</v>
      </c>
      <c r="F257" s="5">
        <v>310.0</v>
      </c>
      <c r="G257" s="5" t="s">
        <v>376</v>
      </c>
      <c r="H257" s="7"/>
      <c r="I257" s="8"/>
      <c r="J257" s="5">
        <v>0.0</v>
      </c>
      <c r="K257" s="5">
        <v>0.0</v>
      </c>
      <c r="L257" s="5">
        <f t="shared" si="5"/>
        <v>0</v>
      </c>
      <c r="M257" s="5">
        <f t="shared" si="6"/>
        <v>0</v>
      </c>
      <c r="N257" s="5"/>
      <c r="O257" s="5"/>
      <c r="P257" s="5"/>
      <c r="Q257" s="5"/>
    </row>
    <row r="258">
      <c r="A258" s="5" t="s">
        <v>182</v>
      </c>
      <c r="B258" s="5" t="s">
        <v>124</v>
      </c>
      <c r="C258" s="5" t="s">
        <v>31</v>
      </c>
      <c r="D258" s="8"/>
      <c r="E258" s="19" t="s">
        <v>377</v>
      </c>
      <c r="F258" s="5">
        <v>15.0</v>
      </c>
      <c r="G258" s="5">
        <v>9.0</v>
      </c>
      <c r="H258" s="7"/>
      <c r="I258" s="8"/>
      <c r="J258" s="5">
        <v>0.0</v>
      </c>
      <c r="K258" s="5">
        <v>0.0</v>
      </c>
      <c r="L258" s="5">
        <f t="shared" si="5"/>
        <v>0</v>
      </c>
      <c r="M258" s="5">
        <f t="shared" si="6"/>
        <v>0</v>
      </c>
      <c r="N258" s="5"/>
      <c r="O258" s="5"/>
      <c r="P258" s="5"/>
      <c r="Q258" s="5"/>
    </row>
    <row r="259">
      <c r="A259" s="5" t="s">
        <v>378</v>
      </c>
      <c r="B259" s="5" t="s">
        <v>124</v>
      </c>
      <c r="C259" s="5" t="s">
        <v>31</v>
      </c>
      <c r="D259" s="5" t="s">
        <v>211</v>
      </c>
      <c r="E259" s="19" t="s">
        <v>379</v>
      </c>
      <c r="F259" s="5">
        <v>29.0</v>
      </c>
      <c r="G259" s="5">
        <v>10.0</v>
      </c>
      <c r="H259" s="7"/>
      <c r="I259" s="8"/>
      <c r="J259" s="5">
        <v>0.0</v>
      </c>
      <c r="K259" s="5">
        <v>0.0</v>
      </c>
      <c r="L259" s="5">
        <f t="shared" si="5"/>
        <v>0</v>
      </c>
      <c r="M259" s="5">
        <f t="shared" si="6"/>
        <v>0</v>
      </c>
      <c r="N259" s="5"/>
      <c r="O259" s="5"/>
      <c r="P259" s="5"/>
      <c r="Q259" s="5"/>
    </row>
    <row r="260">
      <c r="A260" s="5" t="s">
        <v>54</v>
      </c>
      <c r="B260" s="5" t="s">
        <v>124</v>
      </c>
      <c r="C260" s="5" t="s">
        <v>327</v>
      </c>
      <c r="D260" s="5" t="s">
        <v>375</v>
      </c>
      <c r="E260" s="19" t="s">
        <v>380</v>
      </c>
      <c r="F260" s="5">
        <v>300.0</v>
      </c>
      <c r="G260" s="5">
        <v>10.0</v>
      </c>
      <c r="H260" s="7"/>
      <c r="I260" s="8"/>
      <c r="J260" s="5">
        <v>0.0</v>
      </c>
      <c r="K260" s="5">
        <v>0.0</v>
      </c>
      <c r="L260" s="5">
        <f t="shared" si="5"/>
        <v>0</v>
      </c>
      <c r="M260" s="5">
        <f t="shared" si="6"/>
        <v>0</v>
      </c>
      <c r="N260" s="5"/>
      <c r="O260" s="5"/>
      <c r="P260" s="5"/>
      <c r="Q260" s="5"/>
    </row>
    <row r="261">
      <c r="A261" s="5" t="s">
        <v>358</v>
      </c>
      <c r="B261" s="5" t="s">
        <v>134</v>
      </c>
      <c r="C261" s="5" t="s">
        <v>381</v>
      </c>
      <c r="D261" s="5" t="s">
        <v>382</v>
      </c>
      <c r="E261" s="19" t="s">
        <v>383</v>
      </c>
      <c r="F261" s="5">
        <v>184.0</v>
      </c>
      <c r="G261" s="5">
        <v>9.0</v>
      </c>
      <c r="H261" s="7"/>
      <c r="I261" s="8"/>
      <c r="J261" s="5">
        <v>0.0</v>
      </c>
      <c r="K261" s="5">
        <v>0.0</v>
      </c>
      <c r="L261" s="5">
        <f t="shared" si="5"/>
        <v>0</v>
      </c>
      <c r="M261" s="5">
        <f t="shared" si="6"/>
        <v>0</v>
      </c>
      <c r="N261" s="5"/>
      <c r="O261" s="5"/>
      <c r="P261" s="5"/>
      <c r="Q261" s="5"/>
    </row>
    <row r="262">
      <c r="A262" s="5" t="s">
        <v>54</v>
      </c>
      <c r="B262" s="5" t="s">
        <v>134</v>
      </c>
      <c r="C262" s="5" t="s">
        <v>384</v>
      </c>
      <c r="D262" s="5" t="s">
        <v>341</v>
      </c>
      <c r="E262" s="19" t="s">
        <v>383</v>
      </c>
      <c r="F262" s="5">
        <v>16.0</v>
      </c>
      <c r="G262" s="5">
        <v>9.0</v>
      </c>
      <c r="H262" s="7"/>
      <c r="I262" s="8"/>
      <c r="J262" s="5">
        <v>0.0</v>
      </c>
      <c r="K262" s="5">
        <v>0.0</v>
      </c>
      <c r="L262" s="5">
        <f t="shared" si="5"/>
        <v>0</v>
      </c>
      <c r="M262" s="5">
        <f t="shared" si="6"/>
        <v>0</v>
      </c>
      <c r="N262" s="5"/>
      <c r="O262" s="5"/>
      <c r="P262" s="5"/>
      <c r="Q262" s="5"/>
    </row>
    <row r="263">
      <c r="A263" s="27" t="s">
        <v>54</v>
      </c>
      <c r="B263" s="5" t="s">
        <v>385</v>
      </c>
      <c r="C263" s="11" t="s">
        <v>317</v>
      </c>
      <c r="D263" s="5" t="s">
        <v>386</v>
      </c>
      <c r="E263" s="19" t="s">
        <v>387</v>
      </c>
      <c r="F263" s="5">
        <v>370.0</v>
      </c>
      <c r="G263" s="5">
        <v>1.0</v>
      </c>
      <c r="H263" s="7"/>
      <c r="I263" s="8"/>
      <c r="J263" s="5">
        <v>0.0</v>
      </c>
      <c r="K263" s="5">
        <v>0.0</v>
      </c>
      <c r="L263" s="5">
        <f t="shared" si="5"/>
        <v>0</v>
      </c>
      <c r="M263" s="5">
        <f t="shared" si="6"/>
        <v>0</v>
      </c>
      <c r="N263" s="5"/>
      <c r="O263" s="5"/>
      <c r="P263" s="5"/>
      <c r="Q263" s="5"/>
    </row>
    <row r="264">
      <c r="A264" s="5" t="s">
        <v>54</v>
      </c>
      <c r="B264" s="5" t="s">
        <v>298</v>
      </c>
      <c r="C264" s="5" t="s">
        <v>388</v>
      </c>
      <c r="D264" s="5" t="s">
        <v>389</v>
      </c>
      <c r="E264" s="19" t="s">
        <v>390</v>
      </c>
      <c r="F264" s="5">
        <v>65.0</v>
      </c>
      <c r="G264" s="5">
        <v>4.0</v>
      </c>
      <c r="H264" s="7"/>
      <c r="I264" s="8"/>
      <c r="J264" s="5">
        <v>0.0</v>
      </c>
      <c r="K264" s="5">
        <v>0.0</v>
      </c>
      <c r="L264" s="5">
        <f t="shared" si="5"/>
        <v>0</v>
      </c>
      <c r="M264" s="5">
        <f t="shared" si="6"/>
        <v>0</v>
      </c>
      <c r="N264" s="5"/>
      <c r="O264" s="5"/>
      <c r="P264" s="5"/>
      <c r="Q264" s="5"/>
    </row>
    <row r="265">
      <c r="A265" s="5" t="s">
        <v>391</v>
      </c>
      <c r="B265" s="5" t="s">
        <v>124</v>
      </c>
      <c r="C265" s="5" t="s">
        <v>392</v>
      </c>
      <c r="D265" s="5" t="s">
        <v>103</v>
      </c>
      <c r="E265" s="19" t="s">
        <v>390</v>
      </c>
      <c r="F265" s="5">
        <v>64.0</v>
      </c>
      <c r="G265" s="5">
        <v>4.0</v>
      </c>
      <c r="H265" s="7"/>
      <c r="I265" s="8"/>
      <c r="J265" s="5">
        <v>0.0</v>
      </c>
      <c r="K265" s="5">
        <v>0.0</v>
      </c>
      <c r="L265" s="5">
        <f t="shared" si="5"/>
        <v>0</v>
      </c>
      <c r="M265" s="5">
        <f t="shared" si="6"/>
        <v>0</v>
      </c>
      <c r="N265" s="5"/>
      <c r="O265" s="5"/>
      <c r="P265" s="5"/>
      <c r="Q265" s="5"/>
    </row>
    <row r="266">
      <c r="A266" s="5" t="s">
        <v>358</v>
      </c>
      <c r="B266" s="5" t="s">
        <v>134</v>
      </c>
      <c r="C266" s="5">
        <v>552.0</v>
      </c>
      <c r="D266" s="5" t="s">
        <v>393</v>
      </c>
      <c r="E266" s="19" t="s">
        <v>387</v>
      </c>
      <c r="F266" s="5">
        <v>16.0</v>
      </c>
      <c r="G266" s="5">
        <v>4.0</v>
      </c>
      <c r="H266" s="7"/>
      <c r="I266" s="8"/>
      <c r="J266" s="5">
        <v>0.0</v>
      </c>
      <c r="K266" s="5">
        <v>0.0</v>
      </c>
      <c r="L266" s="5">
        <f t="shared" si="5"/>
        <v>0</v>
      </c>
      <c r="M266" s="5">
        <f t="shared" si="6"/>
        <v>0</v>
      </c>
      <c r="N266" s="5"/>
      <c r="O266" s="5"/>
      <c r="P266" s="5"/>
      <c r="Q266" s="5"/>
    </row>
    <row r="267">
      <c r="A267" s="5" t="s">
        <v>358</v>
      </c>
      <c r="B267" s="5" t="s">
        <v>134</v>
      </c>
      <c r="C267" s="5">
        <v>104.0</v>
      </c>
      <c r="D267" s="5" t="s">
        <v>394</v>
      </c>
      <c r="E267" s="19" t="s">
        <v>390</v>
      </c>
      <c r="F267" s="5">
        <v>33.0</v>
      </c>
      <c r="G267" s="5">
        <v>9.0</v>
      </c>
      <c r="H267" s="7"/>
      <c r="I267" s="8"/>
      <c r="J267" s="5">
        <v>0.0</v>
      </c>
      <c r="K267" s="5">
        <v>0.0</v>
      </c>
      <c r="L267" s="5">
        <f t="shared" si="5"/>
        <v>0</v>
      </c>
      <c r="M267" s="5">
        <f t="shared" si="6"/>
        <v>0</v>
      </c>
      <c r="N267" s="5"/>
      <c r="O267" s="5"/>
      <c r="P267" s="5"/>
      <c r="Q267" s="5"/>
    </row>
    <row r="268">
      <c r="A268" s="5" t="s">
        <v>358</v>
      </c>
      <c r="B268" s="5" t="s">
        <v>134</v>
      </c>
      <c r="C268" s="5">
        <v>511.0</v>
      </c>
      <c r="D268" s="5">
        <v>2.0</v>
      </c>
      <c r="E268" s="19" t="s">
        <v>390</v>
      </c>
      <c r="F268" s="5">
        <v>16.0</v>
      </c>
      <c r="G268" s="5">
        <v>9.0</v>
      </c>
      <c r="H268" s="7"/>
      <c r="I268" s="8"/>
      <c r="J268" s="5">
        <v>0.0</v>
      </c>
      <c r="K268" s="5">
        <v>0.0</v>
      </c>
      <c r="L268" s="5">
        <f t="shared" si="5"/>
        <v>0</v>
      </c>
      <c r="M268" s="5">
        <f t="shared" si="6"/>
        <v>0</v>
      </c>
      <c r="N268" s="5"/>
      <c r="O268" s="5"/>
      <c r="P268" s="5"/>
      <c r="Q268" s="5"/>
    </row>
    <row r="269">
      <c r="A269" s="5" t="s">
        <v>54</v>
      </c>
      <c r="B269" s="5" t="s">
        <v>25</v>
      </c>
      <c r="C269" s="5" t="s">
        <v>64</v>
      </c>
      <c r="D269" s="5" t="s">
        <v>198</v>
      </c>
      <c r="E269" s="19" t="s">
        <v>395</v>
      </c>
      <c r="F269" s="5">
        <v>275.0</v>
      </c>
      <c r="G269" s="5">
        <v>10.0</v>
      </c>
      <c r="H269" s="7"/>
      <c r="I269" s="8"/>
      <c r="J269" s="5">
        <v>0.0</v>
      </c>
      <c r="K269" s="5">
        <v>0.0</v>
      </c>
      <c r="L269" s="5">
        <f t="shared" si="5"/>
        <v>0</v>
      </c>
      <c r="M269" s="5">
        <f t="shared" si="6"/>
        <v>0</v>
      </c>
      <c r="N269" s="5"/>
      <c r="O269" s="5"/>
      <c r="P269" s="5"/>
      <c r="Q269" s="5"/>
    </row>
    <row r="270">
      <c r="A270" s="5" t="s">
        <v>260</v>
      </c>
      <c r="B270" s="5" t="s">
        <v>298</v>
      </c>
      <c r="C270" s="5" t="s">
        <v>396</v>
      </c>
      <c r="D270" s="5">
        <v>5.0</v>
      </c>
      <c r="E270" s="19" t="s">
        <v>395</v>
      </c>
      <c r="F270" s="5">
        <v>25.0</v>
      </c>
      <c r="G270" s="5">
        <v>4.0</v>
      </c>
      <c r="H270" s="7"/>
      <c r="I270" s="8"/>
      <c r="J270" s="5">
        <v>0.0</v>
      </c>
      <c r="K270" s="5">
        <v>0.0</v>
      </c>
      <c r="L270" s="5">
        <f t="shared" si="5"/>
        <v>0</v>
      </c>
      <c r="M270" s="5">
        <f t="shared" si="6"/>
        <v>0</v>
      </c>
      <c r="N270" s="5"/>
      <c r="O270" s="5"/>
      <c r="P270" s="5"/>
      <c r="Q270" s="5"/>
    </row>
    <row r="271">
      <c r="A271" s="5" t="s">
        <v>260</v>
      </c>
      <c r="B271" s="5" t="s">
        <v>298</v>
      </c>
      <c r="C271" s="5" t="s">
        <v>397</v>
      </c>
      <c r="D271" s="5">
        <v>1.0</v>
      </c>
      <c r="E271" s="19" t="s">
        <v>395</v>
      </c>
      <c r="F271" s="5">
        <v>5.0</v>
      </c>
      <c r="G271" s="5">
        <v>4.0</v>
      </c>
      <c r="H271" s="7"/>
      <c r="I271" s="8"/>
      <c r="J271" s="5">
        <v>0.0</v>
      </c>
      <c r="K271" s="5">
        <v>0.0</v>
      </c>
      <c r="L271" s="5">
        <f t="shared" si="5"/>
        <v>0</v>
      </c>
      <c r="M271" s="5">
        <f t="shared" si="6"/>
        <v>0</v>
      </c>
      <c r="N271" s="5"/>
      <c r="O271" s="5"/>
      <c r="P271" s="5"/>
      <c r="Q271" s="5"/>
    </row>
    <row r="272">
      <c r="A272" s="5" t="s">
        <v>54</v>
      </c>
      <c r="B272" s="5" t="s">
        <v>124</v>
      </c>
      <c r="C272" s="5" t="s">
        <v>327</v>
      </c>
      <c r="D272" s="5" t="s">
        <v>398</v>
      </c>
      <c r="E272" s="13">
        <v>44969.0</v>
      </c>
      <c r="F272" s="5">
        <v>245.0</v>
      </c>
      <c r="G272" s="5">
        <v>10.0</v>
      </c>
      <c r="H272" s="7"/>
      <c r="I272" s="8"/>
      <c r="J272" s="5">
        <v>0.0</v>
      </c>
      <c r="K272" s="5">
        <v>0.0</v>
      </c>
      <c r="L272" s="5">
        <f t="shared" si="5"/>
        <v>0</v>
      </c>
      <c r="M272" s="5">
        <f t="shared" si="6"/>
        <v>0</v>
      </c>
      <c r="N272" s="5"/>
      <c r="O272" s="5"/>
      <c r="P272" s="5"/>
      <c r="Q272" s="5"/>
    </row>
    <row r="273">
      <c r="A273" s="5" t="s">
        <v>54</v>
      </c>
      <c r="B273" s="5" t="s">
        <v>316</v>
      </c>
      <c r="C273" s="5" t="s">
        <v>317</v>
      </c>
      <c r="D273" s="5" t="s">
        <v>198</v>
      </c>
      <c r="E273" s="13">
        <v>44997.0</v>
      </c>
      <c r="F273" s="5">
        <v>650.0</v>
      </c>
      <c r="G273" s="5">
        <v>1.0</v>
      </c>
      <c r="H273" s="7"/>
      <c r="I273" s="8"/>
      <c r="J273" s="5">
        <v>0.0</v>
      </c>
      <c r="K273" s="5">
        <v>0.0</v>
      </c>
      <c r="L273" s="5">
        <f t="shared" si="5"/>
        <v>0</v>
      </c>
      <c r="M273" s="5">
        <f t="shared" si="6"/>
        <v>0</v>
      </c>
      <c r="N273" s="5"/>
      <c r="O273" s="5"/>
      <c r="P273" s="5"/>
      <c r="Q273" s="5"/>
    </row>
    <row r="274">
      <c r="A274" s="5" t="s">
        <v>203</v>
      </c>
      <c r="B274" s="5" t="s">
        <v>124</v>
      </c>
      <c r="C274" s="5" t="s">
        <v>399</v>
      </c>
      <c r="D274" s="5">
        <v>7700.0</v>
      </c>
      <c r="E274" s="13">
        <v>45058.0</v>
      </c>
      <c r="F274" s="5">
        <v>37.0</v>
      </c>
      <c r="G274" s="5">
        <v>4.0</v>
      </c>
      <c r="H274" s="7"/>
      <c r="I274" s="8"/>
      <c r="J274" s="5">
        <v>0.0</v>
      </c>
      <c r="K274" s="5">
        <v>0.0</v>
      </c>
      <c r="L274" s="5">
        <f t="shared" si="5"/>
        <v>0</v>
      </c>
      <c r="M274" s="5">
        <f t="shared" si="6"/>
        <v>0</v>
      </c>
      <c r="N274" s="5"/>
      <c r="O274" s="5"/>
      <c r="P274" s="5"/>
      <c r="Q274" s="5"/>
    </row>
    <row r="275">
      <c r="A275" s="5" t="s">
        <v>54</v>
      </c>
      <c r="B275" s="5" t="s">
        <v>277</v>
      </c>
      <c r="C275" s="5" t="s">
        <v>400</v>
      </c>
      <c r="D275" s="5">
        <v>27170.0</v>
      </c>
      <c r="E275" s="13">
        <v>45058.0</v>
      </c>
      <c r="F275" s="5">
        <v>130.0</v>
      </c>
      <c r="G275" s="5">
        <v>4.0</v>
      </c>
      <c r="H275" s="7"/>
      <c r="I275" s="8"/>
      <c r="J275" s="5">
        <v>0.0</v>
      </c>
      <c r="K275" s="5">
        <v>0.0</v>
      </c>
      <c r="L275" s="5">
        <f t="shared" si="5"/>
        <v>0</v>
      </c>
      <c r="M275" s="5">
        <f t="shared" si="6"/>
        <v>0</v>
      </c>
      <c r="N275" s="5"/>
      <c r="O275" s="5"/>
      <c r="P275" s="5"/>
      <c r="Q275" s="5"/>
    </row>
    <row r="276">
      <c r="A276" s="5" t="s">
        <v>98</v>
      </c>
      <c r="B276" s="5" t="s">
        <v>106</v>
      </c>
      <c r="C276" s="5" t="s">
        <v>31</v>
      </c>
      <c r="D276" s="5">
        <v>1881.0</v>
      </c>
      <c r="E276" s="13">
        <v>45058.0</v>
      </c>
      <c r="F276" s="5">
        <v>9.0</v>
      </c>
      <c r="G276" s="5">
        <v>4.0</v>
      </c>
      <c r="H276" s="7"/>
      <c r="I276" s="8"/>
      <c r="J276" s="5">
        <v>0.0</v>
      </c>
      <c r="K276" s="5">
        <v>0.0</v>
      </c>
      <c r="L276" s="5">
        <f t="shared" si="5"/>
        <v>0</v>
      </c>
      <c r="M276" s="5">
        <f t="shared" si="6"/>
        <v>0</v>
      </c>
      <c r="N276" s="5"/>
      <c r="O276" s="5"/>
      <c r="P276" s="5"/>
      <c r="Q276" s="5"/>
    </row>
    <row r="277">
      <c r="A277" s="5" t="s">
        <v>401</v>
      </c>
      <c r="B277" s="27" t="s">
        <v>134</v>
      </c>
      <c r="C277" s="5" t="s">
        <v>320</v>
      </c>
      <c r="D277" s="11" t="s">
        <v>143</v>
      </c>
      <c r="E277" s="13">
        <v>45211.0</v>
      </c>
      <c r="F277" s="5">
        <v>125.0</v>
      </c>
      <c r="G277" s="5">
        <v>9.0</v>
      </c>
      <c r="H277" s="7"/>
      <c r="I277" s="8"/>
      <c r="J277" s="5">
        <v>0.0</v>
      </c>
      <c r="K277" s="5">
        <v>0.0</v>
      </c>
      <c r="L277" s="5">
        <f t="shared" si="5"/>
        <v>0</v>
      </c>
      <c r="M277" s="5">
        <f t="shared" si="6"/>
        <v>0</v>
      </c>
      <c r="N277" s="5"/>
      <c r="O277" s="5"/>
      <c r="P277" s="5"/>
      <c r="Q277" s="5"/>
    </row>
    <row r="278">
      <c r="A278" s="5" t="s">
        <v>402</v>
      </c>
      <c r="B278" s="5" t="s">
        <v>298</v>
      </c>
      <c r="C278" s="5" t="s">
        <v>403</v>
      </c>
      <c r="D278" s="5" t="s">
        <v>404</v>
      </c>
      <c r="E278" s="13">
        <v>45272.0</v>
      </c>
      <c r="F278" s="5">
        <v>50.0</v>
      </c>
      <c r="G278" s="5">
        <v>4.0</v>
      </c>
      <c r="H278" s="7"/>
      <c r="I278" s="8"/>
      <c r="J278" s="5">
        <v>0.0</v>
      </c>
      <c r="K278" s="5">
        <v>0.0</v>
      </c>
      <c r="L278" s="5">
        <f t="shared" si="5"/>
        <v>0</v>
      </c>
      <c r="M278" s="5">
        <f t="shared" si="6"/>
        <v>0</v>
      </c>
      <c r="N278" s="5"/>
      <c r="O278" s="5"/>
      <c r="P278" s="5"/>
      <c r="Q278" s="5"/>
    </row>
    <row r="279">
      <c r="A279" s="5" t="s">
        <v>98</v>
      </c>
      <c r="B279" s="5" t="s">
        <v>124</v>
      </c>
      <c r="C279" s="5">
        <v>23.0</v>
      </c>
      <c r="D279" s="5" t="s">
        <v>318</v>
      </c>
      <c r="E279" s="13">
        <v>45272.0</v>
      </c>
      <c r="F279" s="5">
        <v>7.0</v>
      </c>
      <c r="G279" s="5">
        <v>4.0</v>
      </c>
      <c r="H279" s="7"/>
      <c r="I279" s="8"/>
      <c r="J279" s="5">
        <v>0.0</v>
      </c>
      <c r="K279" s="5">
        <v>0.0</v>
      </c>
      <c r="L279" s="5">
        <f t="shared" si="5"/>
        <v>0</v>
      </c>
      <c r="M279" s="5">
        <f t="shared" si="6"/>
        <v>0</v>
      </c>
      <c r="N279" s="5"/>
      <c r="O279" s="5"/>
      <c r="P279" s="5"/>
      <c r="Q279" s="5"/>
    </row>
    <row r="280">
      <c r="A280" s="5" t="s">
        <v>250</v>
      </c>
      <c r="B280" s="5" t="s">
        <v>134</v>
      </c>
      <c r="C280" s="5" t="s">
        <v>31</v>
      </c>
      <c r="D280" s="5" t="s">
        <v>405</v>
      </c>
      <c r="E280" s="19" t="s">
        <v>406</v>
      </c>
      <c r="F280" s="5">
        <v>68.0</v>
      </c>
      <c r="G280" s="5">
        <v>4.0</v>
      </c>
      <c r="H280" s="7"/>
      <c r="I280" s="8"/>
      <c r="J280" s="5">
        <v>0.0</v>
      </c>
      <c r="K280" s="5">
        <v>0.0</v>
      </c>
      <c r="L280" s="5">
        <f t="shared" si="5"/>
        <v>0</v>
      </c>
      <c r="M280" s="5">
        <f t="shared" si="6"/>
        <v>0</v>
      </c>
      <c r="N280" s="5"/>
      <c r="O280" s="5"/>
      <c r="P280" s="5"/>
      <c r="Q280" s="5"/>
    </row>
    <row r="281">
      <c r="A281" s="5" t="s">
        <v>215</v>
      </c>
      <c r="B281" s="5" t="s">
        <v>124</v>
      </c>
      <c r="C281" s="5" t="s">
        <v>125</v>
      </c>
      <c r="D281" s="8"/>
      <c r="E281" s="6"/>
      <c r="F281" s="5">
        <v>232.0</v>
      </c>
      <c r="G281" s="5">
        <v>10.0</v>
      </c>
      <c r="H281" s="7"/>
      <c r="I281" s="8"/>
      <c r="J281" s="5">
        <v>0.0</v>
      </c>
      <c r="K281" s="5">
        <v>464.0</v>
      </c>
      <c r="L281" s="5">
        <f t="shared" si="5"/>
        <v>464</v>
      </c>
      <c r="M281" s="5">
        <f t="shared" si="6"/>
        <v>0</v>
      </c>
      <c r="N281" s="5"/>
      <c r="O281" s="5"/>
      <c r="P281" s="5"/>
      <c r="Q281" s="5"/>
    </row>
    <row r="282">
      <c r="A282" s="5" t="s">
        <v>43</v>
      </c>
      <c r="B282" s="5" t="s">
        <v>32</v>
      </c>
      <c r="C282" s="5" t="s">
        <v>407</v>
      </c>
      <c r="D282" s="8"/>
      <c r="E282" s="6"/>
      <c r="F282" s="5">
        <v>5.0</v>
      </c>
      <c r="G282" s="5">
        <v>10.0</v>
      </c>
      <c r="H282" s="7"/>
      <c r="I282" s="8"/>
      <c r="J282" s="5">
        <v>0.0</v>
      </c>
      <c r="K282" s="5">
        <v>0.0</v>
      </c>
      <c r="L282" s="5">
        <f t="shared" si="5"/>
        <v>0</v>
      </c>
      <c r="M282" s="5">
        <f t="shared" si="6"/>
        <v>0</v>
      </c>
      <c r="N282" s="5"/>
      <c r="O282" s="5"/>
      <c r="P282" s="5"/>
      <c r="Q282" s="5"/>
    </row>
    <row r="283">
      <c r="A283" s="8"/>
      <c r="B283" s="8"/>
      <c r="C283" s="8"/>
      <c r="D283" s="8"/>
      <c r="E283" s="6"/>
      <c r="F283" s="8"/>
      <c r="G283" s="8"/>
      <c r="H283" s="7"/>
      <c r="I283" s="8"/>
      <c r="J283" s="5">
        <v>0.0</v>
      </c>
      <c r="K283" s="5">
        <v>0.0</v>
      </c>
      <c r="L283" s="5">
        <f t="shared" si="5"/>
        <v>0</v>
      </c>
      <c r="M283" s="5">
        <f t="shared" si="6"/>
        <v>0</v>
      </c>
      <c r="N283" s="5"/>
      <c r="O283" s="5"/>
      <c r="P283" s="5"/>
      <c r="Q283" s="5"/>
    </row>
    <row r="284">
      <c r="A284" s="8"/>
      <c r="B284" s="8"/>
      <c r="C284" s="8"/>
      <c r="D284" s="8"/>
      <c r="E284" s="6"/>
      <c r="F284" s="5" t="s">
        <v>408</v>
      </c>
      <c r="G284" s="8"/>
      <c r="H284" s="7"/>
      <c r="I284" s="8"/>
      <c r="J284" s="5">
        <v>0.0</v>
      </c>
      <c r="K284" s="5">
        <v>0.0</v>
      </c>
      <c r="L284" s="5">
        <f t="shared" si="5"/>
        <v>0</v>
      </c>
      <c r="M284" s="5">
        <f t="shared" si="6"/>
        <v>0</v>
      </c>
      <c r="N284" s="5"/>
      <c r="O284" s="5"/>
      <c r="P284" s="5"/>
      <c r="Q284" s="5"/>
    </row>
  </sheetData>
  <autoFilter ref="$A$1:$A$284">
    <sortState ref="A1:A284">
      <sortCondition ref="A1:A284"/>
    </sortState>
  </autoFilter>
  <dataValidations>
    <dataValidation type="list" allowBlank="1" showErrorMessage="1" sqref="A2">
      <formula1>customers!$A:$A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75"/>
    <col customWidth="1" min="2" max="2" width="22.75"/>
    <col customWidth="1" min="3" max="3" width="23.63"/>
    <col customWidth="1" min="4" max="4" width="22.5"/>
  </cols>
  <sheetData>
    <row r="1"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25"/>
  </cols>
  <sheetData>
    <row r="1">
      <c r="A1" s="30" t="s">
        <v>413</v>
      </c>
      <c r="B1" s="30" t="s">
        <v>2</v>
      </c>
      <c r="C1" s="30" t="s">
        <v>1</v>
      </c>
      <c r="D1" s="30" t="s">
        <v>414</v>
      </c>
      <c r="E1" s="30" t="s">
        <v>415</v>
      </c>
      <c r="F1" s="30" t="s">
        <v>416</v>
      </c>
      <c r="G1" s="30" t="s">
        <v>417</v>
      </c>
    </row>
    <row r="2">
      <c r="A2" s="11"/>
      <c r="B2" s="11"/>
      <c r="C2" s="11"/>
      <c r="D2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88"/>
    <col customWidth="1" min="8" max="14" width="19.0"/>
  </cols>
  <sheetData>
    <row r="1">
      <c r="A1" s="31" t="s">
        <v>418</v>
      </c>
      <c r="B1" s="32" t="s">
        <v>2</v>
      </c>
      <c r="C1" s="32" t="s">
        <v>1</v>
      </c>
      <c r="D1" s="32" t="s">
        <v>419</v>
      </c>
      <c r="E1" s="32" t="s">
        <v>420</v>
      </c>
      <c r="F1" s="32" t="s">
        <v>421</v>
      </c>
      <c r="G1" s="32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4" t="s">
        <v>14</v>
      </c>
      <c r="M1" s="1" t="s">
        <v>15</v>
      </c>
      <c r="N1" s="1" t="s">
        <v>16</v>
      </c>
    </row>
    <row r="2">
      <c r="A2" s="33" t="s">
        <v>422</v>
      </c>
      <c r="B2" s="11" t="s">
        <v>209</v>
      </c>
      <c r="D2" s="28">
        <v>2.0</v>
      </c>
      <c r="G2" s="28">
        <v>0.0</v>
      </c>
      <c r="H2" s="5">
        <v>6.0</v>
      </c>
      <c r="I2" s="5">
        <f t="shared" ref="I2:I14" si="1">H2-J2-G2</f>
        <v>6</v>
      </c>
      <c r="J2" s="5">
        <f t="shared" ref="J2:J14" si="2">sum(K2:N2)</f>
        <v>0</v>
      </c>
      <c r="K2" s="5"/>
      <c r="L2" s="5"/>
      <c r="M2" s="5"/>
      <c r="N2" s="5"/>
    </row>
    <row r="3">
      <c r="A3" s="33" t="s">
        <v>422</v>
      </c>
      <c r="B3" s="11" t="s">
        <v>316</v>
      </c>
      <c r="D3" s="28">
        <v>1.0</v>
      </c>
      <c r="G3" s="28">
        <v>0.0</v>
      </c>
      <c r="H3" s="5">
        <v>2.0</v>
      </c>
      <c r="I3" s="5">
        <f t="shared" si="1"/>
        <v>2</v>
      </c>
      <c r="J3" s="5">
        <f t="shared" si="2"/>
        <v>0</v>
      </c>
      <c r="K3" s="5"/>
      <c r="L3" s="5"/>
      <c r="M3" s="5"/>
      <c r="N3" s="5"/>
    </row>
    <row r="4">
      <c r="A4" s="33" t="s">
        <v>86</v>
      </c>
      <c r="B4" s="11" t="s">
        <v>32</v>
      </c>
      <c r="C4" s="11" t="s">
        <v>58</v>
      </c>
      <c r="D4" s="28">
        <v>13.0</v>
      </c>
      <c r="G4" s="28">
        <v>91.0</v>
      </c>
      <c r="H4" s="5">
        <v>91.0</v>
      </c>
      <c r="I4" s="5">
        <f t="shared" si="1"/>
        <v>0</v>
      </c>
      <c r="J4" s="5">
        <f t="shared" si="2"/>
        <v>0</v>
      </c>
      <c r="K4" s="5"/>
      <c r="L4" s="5"/>
      <c r="M4" s="5"/>
      <c r="N4" s="5"/>
    </row>
    <row r="5">
      <c r="A5" s="33" t="s">
        <v>86</v>
      </c>
      <c r="B5" s="11" t="s">
        <v>32</v>
      </c>
      <c r="C5" s="11" t="s">
        <v>58</v>
      </c>
      <c r="D5" s="28">
        <v>12.0</v>
      </c>
      <c r="G5" s="28">
        <v>84.0</v>
      </c>
      <c r="H5" s="5">
        <v>84.0</v>
      </c>
      <c r="I5" s="5">
        <f t="shared" si="1"/>
        <v>0</v>
      </c>
      <c r="J5" s="5">
        <f t="shared" si="2"/>
        <v>0</v>
      </c>
      <c r="K5" s="5"/>
      <c r="L5" s="5"/>
      <c r="M5" s="5"/>
      <c r="N5" s="5"/>
    </row>
    <row r="6">
      <c r="A6" s="33" t="s">
        <v>17</v>
      </c>
      <c r="B6" s="11" t="s">
        <v>32</v>
      </c>
      <c r="C6" s="11" t="s">
        <v>58</v>
      </c>
      <c r="D6" s="28">
        <v>6.0</v>
      </c>
      <c r="G6" s="28">
        <v>0.0</v>
      </c>
      <c r="H6" s="5">
        <v>42.0</v>
      </c>
      <c r="I6" s="5">
        <f t="shared" si="1"/>
        <v>42</v>
      </c>
      <c r="J6" s="5">
        <f t="shared" si="2"/>
        <v>0</v>
      </c>
      <c r="K6" s="5"/>
      <c r="L6" s="5"/>
      <c r="M6" s="5"/>
      <c r="N6" s="5"/>
    </row>
    <row r="7">
      <c r="A7" s="33" t="s">
        <v>17</v>
      </c>
      <c r="B7" s="11" t="s">
        <v>37</v>
      </c>
      <c r="C7" s="11" t="s">
        <v>26</v>
      </c>
      <c r="D7" s="28">
        <v>70.0</v>
      </c>
      <c r="G7" s="28">
        <v>0.0</v>
      </c>
      <c r="H7" s="5">
        <v>175.0</v>
      </c>
      <c r="I7" s="5">
        <f t="shared" si="1"/>
        <v>175</v>
      </c>
      <c r="J7" s="5">
        <f t="shared" si="2"/>
        <v>0</v>
      </c>
      <c r="K7" s="5"/>
      <c r="L7" s="5"/>
      <c r="M7" s="5"/>
      <c r="N7" s="5"/>
    </row>
    <row r="8">
      <c r="A8" s="33" t="s">
        <v>23</v>
      </c>
      <c r="B8" s="11" t="s">
        <v>32</v>
      </c>
      <c r="C8" s="11" t="s">
        <v>58</v>
      </c>
      <c r="D8" s="28">
        <v>8.0</v>
      </c>
      <c r="G8" s="28">
        <v>0.0</v>
      </c>
      <c r="H8" s="5">
        <v>64.0</v>
      </c>
      <c r="I8" s="5">
        <f t="shared" si="1"/>
        <v>64</v>
      </c>
      <c r="J8" s="5">
        <f t="shared" si="2"/>
        <v>0</v>
      </c>
      <c r="K8" s="5"/>
      <c r="L8" s="5"/>
      <c r="M8" s="5"/>
      <c r="N8" s="5"/>
    </row>
    <row r="9">
      <c r="A9" s="33" t="s">
        <v>27</v>
      </c>
      <c r="B9" s="11" t="s">
        <v>32</v>
      </c>
      <c r="C9" s="11" t="s">
        <v>33</v>
      </c>
      <c r="D9" s="28">
        <v>42.0</v>
      </c>
      <c r="G9" s="28">
        <v>0.0</v>
      </c>
      <c r="H9" s="5">
        <v>210.0</v>
      </c>
      <c r="I9" s="5">
        <f t="shared" si="1"/>
        <v>210</v>
      </c>
      <c r="J9" s="5">
        <f t="shared" si="2"/>
        <v>0</v>
      </c>
      <c r="K9" s="5"/>
      <c r="L9" s="5"/>
      <c r="M9" s="5"/>
      <c r="N9" s="5"/>
    </row>
    <row r="10">
      <c r="A10" s="33" t="s">
        <v>215</v>
      </c>
      <c r="B10" s="11" t="s">
        <v>124</v>
      </c>
      <c r="C10" s="11" t="s">
        <v>130</v>
      </c>
      <c r="D10" s="28">
        <v>332.0</v>
      </c>
      <c r="G10" s="28">
        <v>0.0</v>
      </c>
      <c r="H10" s="5">
        <v>2490.0</v>
      </c>
      <c r="I10" s="5">
        <f t="shared" si="1"/>
        <v>2490</v>
      </c>
      <c r="J10" s="5">
        <f t="shared" si="2"/>
        <v>0</v>
      </c>
      <c r="K10" s="5"/>
      <c r="L10" s="5"/>
      <c r="M10" s="5"/>
      <c r="N10" s="5"/>
    </row>
    <row r="11">
      <c r="A11" s="33" t="s">
        <v>215</v>
      </c>
      <c r="B11" s="11" t="s">
        <v>423</v>
      </c>
      <c r="C11" s="11" t="s">
        <v>70</v>
      </c>
      <c r="D11" s="28">
        <v>49.0</v>
      </c>
      <c r="G11" s="28">
        <v>0.0</v>
      </c>
      <c r="H11" s="5">
        <v>588.0</v>
      </c>
      <c r="I11" s="5">
        <f t="shared" si="1"/>
        <v>588</v>
      </c>
      <c r="J11" s="5">
        <f t="shared" si="2"/>
        <v>0</v>
      </c>
      <c r="K11" s="5"/>
      <c r="L11" s="5"/>
      <c r="M11" s="5"/>
      <c r="N11" s="5"/>
    </row>
    <row r="12">
      <c r="A12" s="33" t="s">
        <v>215</v>
      </c>
      <c r="B12" s="11" t="s">
        <v>424</v>
      </c>
      <c r="D12" s="28">
        <v>5.0</v>
      </c>
      <c r="G12" s="28">
        <v>0.0</v>
      </c>
      <c r="H12" s="5">
        <v>25.0</v>
      </c>
      <c r="I12" s="5">
        <f t="shared" si="1"/>
        <v>25</v>
      </c>
      <c r="J12" s="5">
        <f t="shared" si="2"/>
        <v>0</v>
      </c>
      <c r="K12" s="5"/>
      <c r="L12" s="5"/>
      <c r="M12" s="5"/>
      <c r="N12" s="5"/>
    </row>
    <row r="13">
      <c r="A13" s="33" t="s">
        <v>425</v>
      </c>
      <c r="B13" s="11" t="s">
        <v>32</v>
      </c>
      <c r="C13" s="11" t="s">
        <v>58</v>
      </c>
      <c r="D13" s="28">
        <v>4.0</v>
      </c>
      <c r="G13" s="28">
        <v>0.0</v>
      </c>
      <c r="H13" s="5">
        <v>28.0</v>
      </c>
      <c r="I13" s="5">
        <f t="shared" si="1"/>
        <v>28</v>
      </c>
      <c r="J13" s="5">
        <f t="shared" si="2"/>
        <v>0</v>
      </c>
      <c r="K13" s="5"/>
      <c r="L13" s="5"/>
      <c r="M13" s="5"/>
      <c r="N13" s="5"/>
    </row>
    <row r="14">
      <c r="A14" s="33" t="s">
        <v>81</v>
      </c>
      <c r="B14" s="11" t="s">
        <v>32</v>
      </c>
      <c r="C14" s="11" t="s">
        <v>140</v>
      </c>
      <c r="D14" s="28">
        <v>4.0</v>
      </c>
      <c r="G14" s="28">
        <v>0.0</v>
      </c>
      <c r="H14" s="5">
        <v>36.0</v>
      </c>
      <c r="I14" s="5">
        <f t="shared" si="1"/>
        <v>36</v>
      </c>
      <c r="J14" s="5">
        <f t="shared" si="2"/>
        <v>0</v>
      </c>
      <c r="K14" s="5"/>
      <c r="L14" s="5"/>
      <c r="M14" s="5"/>
      <c r="N14" s="5"/>
    </row>
  </sheetData>
  <dataValidations>
    <dataValidation type="list" allowBlank="1" showErrorMessage="1" sqref="A2:A14">
      <formula1>customers!$A:$A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25.88"/>
    <col customWidth="1" min="7" max="13" width="19.0"/>
  </cols>
  <sheetData>
    <row r="1">
      <c r="A1" s="31" t="s">
        <v>418</v>
      </c>
      <c r="B1" s="32" t="s">
        <v>2</v>
      </c>
      <c r="C1" s="32" t="s">
        <v>1</v>
      </c>
      <c r="D1" s="32" t="s">
        <v>426</v>
      </c>
      <c r="E1" s="32" t="s">
        <v>420</v>
      </c>
      <c r="F1" s="32" t="s">
        <v>421</v>
      </c>
      <c r="G1" s="1" t="s">
        <v>10</v>
      </c>
      <c r="H1" s="1" t="s">
        <v>11</v>
      </c>
      <c r="I1" s="1" t="s">
        <v>12</v>
      </c>
      <c r="J1" s="1" t="s">
        <v>13</v>
      </c>
      <c r="K1" s="4" t="s">
        <v>14</v>
      </c>
      <c r="L1" s="1" t="s">
        <v>15</v>
      </c>
      <c r="M1" s="1" t="s">
        <v>16</v>
      </c>
    </row>
    <row r="2">
      <c r="A2" s="33" t="s">
        <v>17</v>
      </c>
      <c r="B2" s="11" t="s">
        <v>32</v>
      </c>
      <c r="C2" s="11" t="s">
        <v>58</v>
      </c>
      <c r="D2" s="28">
        <v>40.0</v>
      </c>
      <c r="G2" s="5">
        <v>720.0</v>
      </c>
      <c r="H2" s="5">
        <f t="shared" ref="H2:H11" si="1">G2-I2</f>
        <v>0</v>
      </c>
      <c r="I2" s="5">
        <f t="shared" ref="I2:I11" si="2">sum(J2:M2)</f>
        <v>720</v>
      </c>
      <c r="J2" s="5">
        <v>720.0</v>
      </c>
      <c r="K2" s="5"/>
      <c r="L2" s="5"/>
      <c r="M2" s="5"/>
    </row>
    <row r="3">
      <c r="A3" s="33" t="s">
        <v>17</v>
      </c>
      <c r="B3" s="11" t="s">
        <v>32</v>
      </c>
      <c r="C3" s="11" t="s">
        <v>58</v>
      </c>
      <c r="D3" s="28">
        <v>20.0</v>
      </c>
      <c r="G3" s="5">
        <v>360.0</v>
      </c>
      <c r="H3" s="5">
        <f t="shared" si="1"/>
        <v>0</v>
      </c>
      <c r="I3" s="5">
        <f t="shared" si="2"/>
        <v>360</v>
      </c>
      <c r="J3" s="5">
        <v>360.0</v>
      </c>
      <c r="K3" s="5"/>
      <c r="L3" s="5"/>
      <c r="M3" s="5"/>
    </row>
    <row r="4">
      <c r="A4" s="33" t="s">
        <v>17</v>
      </c>
      <c r="B4" s="11" t="s">
        <v>32</v>
      </c>
      <c r="C4" s="11" t="s">
        <v>35</v>
      </c>
      <c r="D4" s="28">
        <v>20.0</v>
      </c>
      <c r="G4" s="5">
        <v>360.0</v>
      </c>
      <c r="H4" s="5">
        <f t="shared" si="1"/>
        <v>360</v>
      </c>
      <c r="I4" s="5">
        <f t="shared" si="2"/>
        <v>0</v>
      </c>
      <c r="J4" s="5"/>
      <c r="K4" s="5"/>
      <c r="L4" s="5"/>
      <c r="M4" s="5"/>
    </row>
    <row r="5">
      <c r="A5" s="33" t="s">
        <v>23</v>
      </c>
      <c r="B5" s="11" t="s">
        <v>32</v>
      </c>
      <c r="C5" s="11" t="s">
        <v>35</v>
      </c>
      <c r="D5" s="28">
        <v>12.0</v>
      </c>
      <c r="G5" s="5">
        <v>216.0</v>
      </c>
      <c r="H5" s="5">
        <f t="shared" si="1"/>
        <v>216</v>
      </c>
      <c r="I5" s="5">
        <f t="shared" si="2"/>
        <v>0</v>
      </c>
      <c r="J5" s="5"/>
      <c r="K5" s="5"/>
      <c r="L5" s="5"/>
      <c r="M5" s="5"/>
    </row>
    <row r="6">
      <c r="A6" s="33" t="s">
        <v>23</v>
      </c>
      <c r="B6" s="11" t="s">
        <v>32</v>
      </c>
      <c r="C6" s="11" t="s">
        <v>58</v>
      </c>
      <c r="D6" s="28">
        <v>16.0</v>
      </c>
      <c r="G6" s="5">
        <v>288.0</v>
      </c>
      <c r="H6" s="5">
        <f t="shared" si="1"/>
        <v>288</v>
      </c>
      <c r="I6" s="5">
        <f t="shared" si="2"/>
        <v>0</v>
      </c>
      <c r="J6" s="5"/>
      <c r="K6" s="5"/>
      <c r="L6" s="5"/>
      <c r="M6" s="5"/>
    </row>
    <row r="7">
      <c r="A7" s="33" t="s">
        <v>27</v>
      </c>
      <c r="B7" s="11" t="s">
        <v>32</v>
      </c>
      <c r="C7" s="11" t="s">
        <v>58</v>
      </c>
      <c r="D7" s="28">
        <v>219.0</v>
      </c>
      <c r="G7" s="5">
        <v>4380.0</v>
      </c>
      <c r="H7" s="5">
        <f t="shared" si="1"/>
        <v>1980</v>
      </c>
      <c r="I7" s="5">
        <f t="shared" si="2"/>
        <v>2400</v>
      </c>
      <c r="J7" s="5">
        <v>2400.0</v>
      </c>
      <c r="K7" s="5"/>
      <c r="L7" s="5"/>
      <c r="M7" s="5"/>
    </row>
    <row r="8">
      <c r="A8" s="33" t="s">
        <v>27</v>
      </c>
      <c r="B8" s="11" t="s">
        <v>25</v>
      </c>
      <c r="C8" s="11" t="s">
        <v>28</v>
      </c>
      <c r="D8" s="28">
        <v>25.0</v>
      </c>
      <c r="G8" s="5">
        <v>1125.0</v>
      </c>
      <c r="H8" s="5">
        <f t="shared" si="1"/>
        <v>1125</v>
      </c>
      <c r="I8" s="5">
        <f t="shared" si="2"/>
        <v>0</v>
      </c>
      <c r="J8" s="5"/>
      <c r="K8" s="5"/>
      <c r="L8" s="5"/>
      <c r="M8" s="5"/>
    </row>
    <row r="9">
      <c r="A9" s="33" t="s">
        <v>75</v>
      </c>
      <c r="B9" s="11" t="s">
        <v>32</v>
      </c>
      <c r="C9" s="11" t="s">
        <v>35</v>
      </c>
      <c r="D9" s="28">
        <v>20.0</v>
      </c>
      <c r="G9" s="5">
        <v>360.0</v>
      </c>
      <c r="H9" s="5">
        <f t="shared" si="1"/>
        <v>360</v>
      </c>
      <c r="I9" s="5">
        <f t="shared" si="2"/>
        <v>0</v>
      </c>
      <c r="J9" s="5"/>
      <c r="K9" s="5"/>
      <c r="L9" s="5"/>
      <c r="M9" s="5"/>
    </row>
    <row r="10">
      <c r="A10" s="33" t="s">
        <v>49</v>
      </c>
      <c r="B10" s="11" t="s">
        <v>32</v>
      </c>
      <c r="C10" s="11" t="s">
        <v>35</v>
      </c>
      <c r="D10" s="28">
        <v>17.0</v>
      </c>
      <c r="G10" s="5">
        <v>340.0</v>
      </c>
      <c r="H10" s="5">
        <f t="shared" si="1"/>
        <v>340</v>
      </c>
      <c r="I10" s="5">
        <f t="shared" si="2"/>
        <v>0</v>
      </c>
      <c r="J10" s="5"/>
      <c r="K10" s="5"/>
      <c r="L10" s="5"/>
      <c r="M10" s="5"/>
    </row>
    <row r="11">
      <c r="A11" s="33" t="s">
        <v>93</v>
      </c>
      <c r="B11" s="11" t="s">
        <v>32</v>
      </c>
      <c r="C11" s="11" t="s">
        <v>58</v>
      </c>
      <c r="D11" s="28">
        <v>17.0</v>
      </c>
      <c r="G11" s="5">
        <v>306.0</v>
      </c>
      <c r="H11" s="5">
        <f t="shared" si="1"/>
        <v>0</v>
      </c>
      <c r="I11" s="5">
        <f t="shared" si="2"/>
        <v>306</v>
      </c>
      <c r="J11" s="5">
        <v>306.0</v>
      </c>
      <c r="K11" s="5"/>
      <c r="L11" s="5"/>
      <c r="M11" s="5"/>
    </row>
  </sheetData>
  <dataValidations>
    <dataValidation type="list" allowBlank="1" showErrorMessage="1" sqref="A2:A11">
      <formula1>customers!$A:$A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8.38"/>
    <col customWidth="1" min="2" max="2" width="44.25"/>
  </cols>
  <sheetData>
    <row r="1">
      <c r="A1" s="34" t="s">
        <v>422</v>
      </c>
      <c r="B1" s="35" t="s">
        <v>427</v>
      </c>
    </row>
    <row r="2">
      <c r="A2" s="36" t="s">
        <v>206</v>
      </c>
      <c r="B2" s="37"/>
    </row>
    <row r="3">
      <c r="A3" s="36" t="s">
        <v>235</v>
      </c>
      <c r="B3" s="37"/>
    </row>
    <row r="4">
      <c r="A4" s="36" t="s">
        <v>226</v>
      </c>
      <c r="B4" s="37"/>
    </row>
    <row r="5">
      <c r="A5" s="36" t="s">
        <v>250</v>
      </c>
      <c r="B5" s="37"/>
    </row>
    <row r="6">
      <c r="A6" s="36" t="s">
        <v>302</v>
      </c>
      <c r="B6" s="37"/>
    </row>
    <row r="7">
      <c r="A7" s="36" t="s">
        <v>75</v>
      </c>
      <c r="B7" s="37"/>
    </row>
    <row r="8">
      <c r="A8" s="36" t="s">
        <v>162</v>
      </c>
      <c r="B8" s="37"/>
    </row>
    <row r="9">
      <c r="A9" s="36" t="s">
        <v>146</v>
      </c>
      <c r="B9" s="37"/>
    </row>
    <row r="10">
      <c r="A10" s="36" t="s">
        <v>179</v>
      </c>
      <c r="B10" s="37"/>
    </row>
    <row r="11">
      <c r="A11" s="36" t="s">
        <v>199</v>
      </c>
      <c r="B11" s="37"/>
    </row>
    <row r="12">
      <c r="A12" s="36" t="s">
        <v>191</v>
      </c>
      <c r="B12" s="37"/>
    </row>
    <row r="13">
      <c r="A13" s="36" t="s">
        <v>264</v>
      </c>
      <c r="B13" s="37"/>
    </row>
    <row r="14">
      <c r="A14" s="36" t="s">
        <v>197</v>
      </c>
      <c r="B14" s="37"/>
    </row>
    <row r="15">
      <c r="A15" s="36" t="s">
        <v>24</v>
      </c>
      <c r="B15" s="37"/>
    </row>
    <row r="16">
      <c r="A16" s="36" t="s">
        <v>57</v>
      </c>
      <c r="B16" s="37"/>
    </row>
    <row r="17">
      <c r="A17" s="36" t="s">
        <v>54</v>
      </c>
      <c r="B17" s="37"/>
    </row>
    <row r="18">
      <c r="A18" s="36" t="s">
        <v>27</v>
      </c>
      <c r="B18" s="37"/>
    </row>
    <row r="19">
      <c r="A19" s="36" t="s">
        <v>188</v>
      </c>
      <c r="B19" s="37"/>
    </row>
    <row r="20">
      <c r="A20" s="36" t="s">
        <v>63</v>
      </c>
      <c r="B20" s="37"/>
    </row>
    <row r="21">
      <c r="A21" s="36" t="s">
        <v>170</v>
      </c>
      <c r="B21" s="37"/>
    </row>
    <row r="22">
      <c r="A22" s="36" t="s">
        <v>49</v>
      </c>
      <c r="B22" s="37"/>
    </row>
    <row r="23">
      <c r="A23" s="36" t="s">
        <v>260</v>
      </c>
      <c r="B23" s="37"/>
    </row>
    <row r="24">
      <c r="A24" s="36" t="s">
        <v>121</v>
      </c>
      <c r="B24" s="37"/>
    </row>
    <row r="25">
      <c r="A25" s="36" t="s">
        <v>21</v>
      </c>
      <c r="B25" s="37"/>
    </row>
    <row r="26">
      <c r="A26" s="36" t="s">
        <v>96</v>
      </c>
      <c r="B26" s="37"/>
    </row>
    <row r="27">
      <c r="A27" s="36" t="s">
        <v>271</v>
      </c>
      <c r="B27" s="37"/>
    </row>
    <row r="28">
      <c r="A28" s="36" t="s">
        <v>17</v>
      </c>
      <c r="B28" s="37"/>
    </row>
    <row r="29">
      <c r="A29" s="36" t="s">
        <v>372</v>
      </c>
      <c r="B29" s="37"/>
    </row>
    <row r="30">
      <c r="A30" s="36" t="s">
        <v>238</v>
      </c>
      <c r="B30" s="37"/>
    </row>
    <row r="31">
      <c r="A31" s="36" t="s">
        <v>295</v>
      </c>
      <c r="B31" s="37"/>
    </row>
    <row r="32">
      <c r="A32" s="36" t="s">
        <v>30</v>
      </c>
      <c r="B32" s="37"/>
    </row>
    <row r="33">
      <c r="A33" s="36" t="s">
        <v>182</v>
      </c>
      <c r="B33" s="37"/>
    </row>
    <row r="34">
      <c r="A34" s="36" t="s">
        <v>367</v>
      </c>
      <c r="B34" s="37"/>
    </row>
    <row r="35">
      <c r="A35" s="36" t="s">
        <v>86</v>
      </c>
      <c r="B35" s="37"/>
    </row>
    <row r="36">
      <c r="A36" s="36" t="s">
        <v>153</v>
      </c>
      <c r="B36" s="37"/>
    </row>
    <row r="37">
      <c r="A37" s="36" t="s">
        <v>118</v>
      </c>
      <c r="B37" s="37"/>
    </row>
    <row r="38">
      <c r="A38" s="36" t="s">
        <v>280</v>
      </c>
      <c r="B38" s="37"/>
    </row>
    <row r="39">
      <c r="A39" s="36" t="s">
        <v>115</v>
      </c>
      <c r="B39" s="37"/>
    </row>
    <row r="40">
      <c r="A40" s="36" t="s">
        <v>358</v>
      </c>
      <c r="B40" s="37"/>
    </row>
    <row r="41">
      <c r="A41" s="36" t="s">
        <v>99</v>
      </c>
      <c r="B41" s="37"/>
    </row>
    <row r="42">
      <c r="A42" s="38" t="s">
        <v>425</v>
      </c>
      <c r="B42" s="37"/>
    </row>
    <row r="43">
      <c r="A43" s="36" t="s">
        <v>284</v>
      </c>
      <c r="B43" s="37"/>
    </row>
    <row r="44">
      <c r="A44" s="36" t="s">
        <v>184</v>
      </c>
      <c r="B44" s="37"/>
    </row>
    <row r="45">
      <c r="A45" s="36" t="s">
        <v>195</v>
      </c>
      <c r="B45" s="37"/>
    </row>
    <row r="46">
      <c r="A46" s="36" t="s">
        <v>105</v>
      </c>
      <c r="B46" s="37"/>
    </row>
    <row r="47">
      <c r="A47" s="36" t="s">
        <v>378</v>
      </c>
      <c r="B47" s="37"/>
    </row>
    <row r="48">
      <c r="A48" s="36" t="s">
        <v>98</v>
      </c>
      <c r="B48" s="37"/>
    </row>
    <row r="49">
      <c r="A49" s="36" t="s">
        <v>259</v>
      </c>
      <c r="B49" s="37"/>
    </row>
    <row r="50">
      <c r="A50" s="36" t="s">
        <v>391</v>
      </c>
      <c r="B50" s="37"/>
    </row>
    <row r="51">
      <c r="A51" s="36" t="s">
        <v>46</v>
      </c>
      <c r="B51" s="37"/>
    </row>
    <row r="52">
      <c r="A52" s="36" t="s">
        <v>68</v>
      </c>
      <c r="B52" s="37"/>
    </row>
    <row r="53">
      <c r="A53" s="36" t="s">
        <v>23</v>
      </c>
      <c r="B53" s="37"/>
    </row>
    <row r="54">
      <c r="A54" s="36" t="s">
        <v>93</v>
      </c>
      <c r="B54" s="37"/>
    </row>
    <row r="55">
      <c r="A55" s="36" t="s">
        <v>334</v>
      </c>
      <c r="B55" s="37"/>
    </row>
    <row r="56">
      <c r="A56" s="36" t="s">
        <v>314</v>
      </c>
      <c r="B56" s="37"/>
    </row>
    <row r="57">
      <c r="A57" s="36" t="s">
        <v>157</v>
      </c>
      <c r="B57" s="37"/>
    </row>
    <row r="58">
      <c r="A58" s="36" t="s">
        <v>215</v>
      </c>
      <c r="B58" s="37"/>
    </row>
    <row r="59">
      <c r="A59" s="36" t="s">
        <v>296</v>
      </c>
      <c r="B59" s="37"/>
    </row>
    <row r="60">
      <c r="A60" s="36" t="s">
        <v>81</v>
      </c>
      <c r="B60" s="37"/>
    </row>
    <row r="61">
      <c r="A61" s="36" t="s">
        <v>203</v>
      </c>
      <c r="B61" s="37"/>
    </row>
    <row r="62">
      <c r="A62" s="36" t="s">
        <v>319</v>
      </c>
      <c r="B62" s="37"/>
    </row>
    <row r="63">
      <c r="A63" s="36" t="s">
        <v>192</v>
      </c>
      <c r="B63" s="37"/>
    </row>
    <row r="64">
      <c r="A64" s="36" t="s">
        <v>36</v>
      </c>
      <c r="B64" s="37"/>
    </row>
    <row r="65">
      <c r="A65" s="36" t="s">
        <v>78</v>
      </c>
      <c r="B65" s="37"/>
    </row>
    <row r="66">
      <c r="A66" s="5" t="s">
        <v>428</v>
      </c>
      <c r="B66" s="39" t="s">
        <v>429</v>
      </c>
    </row>
    <row r="67">
      <c r="A67" s="5" t="s">
        <v>430</v>
      </c>
      <c r="B67" s="37"/>
    </row>
  </sheetData>
  <autoFilter ref="$A$1:$B$67"/>
  <dataValidations>
    <dataValidation type="custom" allowBlank="1" showDropDown="1" showErrorMessage="1" sqref="B41 B67">
      <formula1>COUNTIF($B$2:$B67, #REF!)=2</formula1>
    </dataValidation>
    <dataValidation type="custom" allowBlank="1" showDropDown="1" showErrorMessage="1" sqref="B1:B40 B42:B66">
      <formula1>COUNTIF($B$2:$B67, B2)=2</formula1>
    </dataValidation>
  </dataValidations>
  <drawing r:id="rId1"/>
</worksheet>
</file>